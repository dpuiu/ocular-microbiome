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eltemyasar/Desktop/Karakus Lab/U24 metadology /Analysis results/"/>
    </mc:Choice>
  </mc:AlternateContent>
  <xr:revisionPtr revIDLastSave="0" documentId="13_ncr:1_{32BB24AD-CB9E-8D48-B13C-B9FF33539650}" xr6:coauthVersionLast="47" xr6:coauthVersionMax="47" xr10:uidLastSave="{00000000-0000-0000-0000-000000000000}"/>
  <bookViews>
    <workbookView xWindow="2940" yWindow="500" windowWidth="28800" windowHeight="15620" tabRatio="500" activeTab="2" xr2:uid="{00000000-000D-0000-FFFF-FFFF00000000}"/>
  </bookViews>
  <sheets>
    <sheet name="Samples" sheetId="1" r:id="rId1"/>
    <sheet name="Individual" sheetId="4" r:id="rId2"/>
    <sheet name="BioSample" sheetId="5" r:id="rId3"/>
    <sheet name="Sample" sheetId="6" r:id="rId4"/>
    <sheet name="Project" sheetId="2" r:id="rId5"/>
    <sheet name="Center" sheetId="3" r:id="rId6"/>
    <sheet name="Library" sheetId="7" r:id="rId7"/>
    <sheet name="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00" i="1" l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<sst xmlns="http://schemas.openxmlformats.org/spreadsheetml/2006/main" count="6818" uniqueCount="2090">
  <si>
    <t>sample_id</t>
  </si>
  <si>
    <t>sample_name</t>
  </si>
  <si>
    <t>total_reads</t>
  </si>
  <si>
    <t>non_human_reads</t>
  </si>
  <si>
    <t>kraken_human_reads</t>
  </si>
  <si>
    <t>sequencing_date</t>
  </si>
  <si>
    <t>biosample_site</t>
  </si>
  <si>
    <t>extraction_kit</t>
  </si>
  <si>
    <t>biosample_alias</t>
  </si>
  <si>
    <t>biosample_side</t>
  </si>
  <si>
    <t>collection_date</t>
  </si>
  <si>
    <t>host_depletion_kit</t>
  </si>
  <si>
    <t>individual_id</t>
  </si>
  <si>
    <t>lysozyme_treatment</t>
  </si>
  <si>
    <t>microbial_standard</t>
  </si>
  <si>
    <t>nucleic_acid_concentration</t>
  </si>
  <si>
    <t>sample_volume</t>
  </si>
  <si>
    <t>sequencing_lane</t>
  </si>
  <si>
    <t>swab_type</t>
  </si>
  <si>
    <t>tube_lot</t>
  </si>
  <si>
    <t>visit_number</t>
  </si>
  <si>
    <t>jhu00001</t>
  </si>
  <si>
    <t>Molzym_Ultra_Deep_Air_Ctr_3_S20</t>
  </si>
  <si>
    <t>2024-03-14</t>
  </si>
  <si>
    <t>Air Control</t>
  </si>
  <si>
    <t>Molzym Ultra-Deep Microbiome Prep</t>
  </si>
  <si>
    <t>S1273-SC1 A03</t>
  </si>
  <si>
    <t>S20</t>
  </si>
  <si>
    <t>0</t>
  </si>
  <si>
    <t>6.3 ng/ul</t>
  </si>
  <si>
    <t>50 ul</t>
  </si>
  <si>
    <t>jhu00002</t>
  </si>
  <si>
    <t>Molzym_Ultra_Deep_MCS_1-100_4_S8</t>
  </si>
  <si>
    <t>S1273-SC1 A04</t>
  </si>
  <si>
    <t>S8</t>
  </si>
  <si>
    <t>1</t>
  </si>
  <si>
    <t>16 ng/ul</t>
  </si>
  <si>
    <t>jhu00003</t>
  </si>
  <si>
    <t>Qiagen_DNeasy_Air_Ctr_3_S10</t>
  </si>
  <si>
    <t>Qiagen DNeasy Blood &amp; Tissue Kit</t>
  </si>
  <si>
    <t>S1273-SC1 A11</t>
  </si>
  <si>
    <t>S10</t>
  </si>
  <si>
    <t>1.2 ng/ul</t>
  </si>
  <si>
    <t>jhu00004</t>
  </si>
  <si>
    <t>Qiagen_DNeasy_MCS_1-100_4_S18</t>
  </si>
  <si>
    <t>S1273-SC1 A12</t>
  </si>
  <si>
    <t>S18</t>
  </si>
  <si>
    <t>3.5 ng/ul</t>
  </si>
  <si>
    <t>jhu00005</t>
  </si>
  <si>
    <t>Qiagen_Soil_Air_Ctr_3_S2</t>
  </si>
  <si>
    <t>Qiagen DNeasy PowerMax Soil Kit</t>
  </si>
  <si>
    <t>S1273-SC1 A07</t>
  </si>
  <si>
    <t>S2</t>
  </si>
  <si>
    <t>L008</t>
  </si>
  <si>
    <t>0 ng/ul</t>
  </si>
  <si>
    <t>200 ul</t>
  </si>
  <si>
    <t>jhu00006</t>
  </si>
  <si>
    <t>Qiagen_Soil_MCS_1-100_4_S5</t>
  </si>
  <si>
    <t>S1273-SC1 A08</t>
  </si>
  <si>
    <t>S5</t>
  </si>
  <si>
    <t>1.5 ng/ul</t>
  </si>
  <si>
    <t>jhu00007</t>
  </si>
  <si>
    <t>Thermo_MagMax_Air_Ctr_3_S21</t>
  </si>
  <si>
    <t>Thermo Fisher MagMAX™ Pathogen RNA/DNA Kit</t>
  </si>
  <si>
    <t>S1273-SC1 B07</t>
  </si>
  <si>
    <t>S21</t>
  </si>
  <si>
    <t>2.8 ng/ul</t>
  </si>
  <si>
    <t>jhu00008</t>
  </si>
  <si>
    <t>Thermo_MagMax_MCS_1-100_4_S24</t>
  </si>
  <si>
    <t>S1273-SC1 B08</t>
  </si>
  <si>
    <t>S24</t>
  </si>
  <si>
    <t>3.4 ng/ul</t>
  </si>
  <si>
    <t>jhu00009</t>
  </si>
  <si>
    <t>Zymo_Magbead_Air_Ctr_3_S4</t>
  </si>
  <si>
    <t>Zymo Magbead Kit</t>
  </si>
  <si>
    <t>S1273-SC1 B11</t>
  </si>
  <si>
    <t>S4</t>
  </si>
  <si>
    <t>0.1 ng/ul</t>
  </si>
  <si>
    <t>jhu00010</t>
  </si>
  <si>
    <t>Zymo_Magbead_MCS_1-100_4_S22</t>
  </si>
  <si>
    <t>S1273-SC1 B12</t>
  </si>
  <si>
    <t>S22</t>
  </si>
  <si>
    <t>0.4 ng/ul</t>
  </si>
  <si>
    <t>jhu00011</t>
  </si>
  <si>
    <t>Zymo_Mini_prep_Air_Ctr_3_S19</t>
  </si>
  <si>
    <t>Zymo Mini Prep Kit</t>
  </si>
  <si>
    <t>S1273-SC1 B03</t>
  </si>
  <si>
    <t>S19</t>
  </si>
  <si>
    <t>1.8 ng/ul</t>
  </si>
  <si>
    <t>jhu00012</t>
  </si>
  <si>
    <t>Zymo_Mini_prep_MCS_1-100_4_S13</t>
  </si>
  <si>
    <t>S1273-SC1 B04</t>
  </si>
  <si>
    <t>S13</t>
  </si>
  <si>
    <t>5.3 ng/ul</t>
  </si>
  <si>
    <t>jhu00013</t>
  </si>
  <si>
    <t>MasterPure_Air_Ctr_3_S34</t>
  </si>
  <si>
    <t>2024-07-15</t>
  </si>
  <si>
    <t>MasterPure Gram Positive DNA Purification Kit</t>
  </si>
  <si>
    <t>S1289-SC1 A03</t>
  </si>
  <si>
    <t>S34</t>
  </si>
  <si>
    <t>10.6 ng/ul</t>
  </si>
  <si>
    <t>jhu00014</t>
  </si>
  <si>
    <t>MasterPure_Lyso_MCS_1_100_4_S39</t>
  </si>
  <si>
    <t>S1289-SC1 A08</t>
  </si>
  <si>
    <t>S39</t>
  </si>
  <si>
    <t>36.2 ng/ul</t>
  </si>
  <si>
    <t>jhu00015</t>
  </si>
  <si>
    <t>MasterPure_Lysol_Air_Ctr_3_S38</t>
  </si>
  <si>
    <t>S1289-SC1 A07</t>
  </si>
  <si>
    <t>S38</t>
  </si>
  <si>
    <t>20.6 ng/ul</t>
  </si>
  <si>
    <t>jhu00016</t>
  </si>
  <si>
    <t>MasterPure_MCS_1_100_4_S35</t>
  </si>
  <si>
    <t>S1289-SC1 A04</t>
  </si>
  <si>
    <t>S35</t>
  </si>
  <si>
    <t>43.9 ng/ul</t>
  </si>
  <si>
    <t>jhu00017</t>
  </si>
  <si>
    <t>MasterPure_MolYsis_Basic_5_Air_Ctr_3_S42</t>
  </si>
  <si>
    <t>S1289-SC1 A11</t>
  </si>
  <si>
    <t>S42</t>
  </si>
  <si>
    <t>MolYsis™ Basic7</t>
  </si>
  <si>
    <t>12 ng/ul</t>
  </si>
  <si>
    <t>35 ul</t>
  </si>
  <si>
    <t>jhu00018</t>
  </si>
  <si>
    <t>MasterPure_MolYsis_Basic_5_MCS_1_100_4_S43</t>
  </si>
  <si>
    <t>S1289-SC1 A12</t>
  </si>
  <si>
    <t>S43</t>
  </si>
  <si>
    <t>MolYsis™ Basic8</t>
  </si>
  <si>
    <t>10.3 ng/ul</t>
  </si>
  <si>
    <t>jhu00019</t>
  </si>
  <si>
    <t>MasterPure_NEB_Air_Ctr_3_S46</t>
  </si>
  <si>
    <t>S1289-SC1 B03</t>
  </si>
  <si>
    <t>S46</t>
  </si>
  <si>
    <t>NEBNext Microbiome DNA Enrichment Kit</t>
  </si>
  <si>
    <t>4.9 ng/ul</t>
  </si>
  <si>
    <t>jhu00020</t>
  </si>
  <si>
    <t>MasterPure_NEB_MCS_1_100_4_S47</t>
  </si>
  <si>
    <t>S1289-SC1 B04</t>
  </si>
  <si>
    <t>S47</t>
  </si>
  <si>
    <t>15 ng/ul</t>
  </si>
  <si>
    <t>jhu00021</t>
  </si>
  <si>
    <t>MasterPure_Zymo_HostZero_200ul_Air_Ctr_3_S29</t>
  </si>
  <si>
    <t>S1289-SC1 B07</t>
  </si>
  <si>
    <t>S29</t>
  </si>
  <si>
    <t>Zymo HostZero</t>
  </si>
  <si>
    <t>20.2 ng/ul</t>
  </si>
  <si>
    <t>jhu00022</t>
  </si>
  <si>
    <t>MasterPure_Zymo_HostZero_MCS_1_100_4_S30</t>
  </si>
  <si>
    <t>S1289-SC1 B08</t>
  </si>
  <si>
    <t>S30</t>
  </si>
  <si>
    <t>21.2 ng/ul</t>
  </si>
  <si>
    <t>jhu00023</t>
  </si>
  <si>
    <t>MasterPure_MCS_7_S56</t>
  </si>
  <si>
    <t>2024-10-28</t>
  </si>
  <si>
    <t>S1304-SC1 C05</t>
  </si>
  <si>
    <t>S56</t>
  </si>
  <si>
    <t>22.7 ng/ul</t>
  </si>
  <si>
    <t>jhu00024</t>
  </si>
  <si>
    <t>MasterPure_MCS_HostZero_3_S3</t>
  </si>
  <si>
    <t>S1304-SC1 C01</t>
  </si>
  <si>
    <t>S3</t>
  </si>
  <si>
    <t>34 ng/ul</t>
  </si>
  <si>
    <t>jhu00025</t>
  </si>
  <si>
    <t>MasterPure_MCS_MolYsis_1_S59</t>
  </si>
  <si>
    <t>S1304-SC1 B11</t>
  </si>
  <si>
    <t>S59</t>
  </si>
  <si>
    <t>26.1 ng/ul</t>
  </si>
  <si>
    <t>jhu00026</t>
  </si>
  <si>
    <t>MasterPure_MCS_NEB_5_S34</t>
  </si>
  <si>
    <t>S1304-SC1 C03</t>
  </si>
  <si>
    <t>NEBNext Microbiome DNA Enrichment KitNext Microbiome DNA Enrichment Kit</t>
  </si>
  <si>
    <t>10.9 ng/ul</t>
  </si>
  <si>
    <t>jhu00027</t>
  </si>
  <si>
    <t>MasterPure_OMR_8_S22</t>
  </si>
  <si>
    <t>S1304-SC1 C06</t>
  </si>
  <si>
    <t>20.1 ng/ul</t>
  </si>
  <si>
    <t>OMR</t>
  </si>
  <si>
    <t>110</t>
  </si>
  <si>
    <t>jhu00028</t>
  </si>
  <si>
    <t>MasterPure_OMR_HostZero_4_S24</t>
  </si>
  <si>
    <t>S1304-SC1 C02</t>
  </si>
  <si>
    <t>30.6 ng/ul</t>
  </si>
  <si>
    <t>jhu00029</t>
  </si>
  <si>
    <t>MasterPure_OMR_MolYsis_2_S42</t>
  </si>
  <si>
    <t>S1304-SC1 B12</t>
  </si>
  <si>
    <t>jhu00030</t>
  </si>
  <si>
    <t>MasterPure_OMR_NEB_6_S15</t>
  </si>
  <si>
    <t>S1304-SC1 C04</t>
  </si>
  <si>
    <t>S15</t>
  </si>
  <si>
    <t>10.1 ng/ul</t>
  </si>
  <si>
    <t>jhu00031</t>
  </si>
  <si>
    <t>Molzym_Ultra-Deep_MCS_1_S11</t>
  </si>
  <si>
    <t>S1304-SC1 B05</t>
  </si>
  <si>
    <t>S11</t>
  </si>
  <si>
    <t>5.2 ng/ul</t>
  </si>
  <si>
    <t>jhu00032</t>
  </si>
  <si>
    <t>Molzym_Ultra-Deep_MCS_HostZero_3_S19</t>
  </si>
  <si>
    <t>S1304-SC1 B07</t>
  </si>
  <si>
    <t>jhu00033</t>
  </si>
  <si>
    <t>Molzym_Ultra-Deep_MCS_NEB_5_S44</t>
  </si>
  <si>
    <t>S1304-SC1 B09</t>
  </si>
  <si>
    <t>S44</t>
  </si>
  <si>
    <t>30 ul</t>
  </si>
  <si>
    <t>jhu00034</t>
  </si>
  <si>
    <t>Molzym_Ultra-Deep_OMR_2_S10</t>
  </si>
  <si>
    <t>S1304-SC1 B06</t>
  </si>
  <si>
    <t>0.2 ng/ul</t>
  </si>
  <si>
    <t>jhu00035</t>
  </si>
  <si>
    <t>Molzym_Ultra-Deep_OMR_HostZero_4_S37</t>
  </si>
  <si>
    <t>S1304-SC1 B08</t>
  </si>
  <si>
    <t>S37</t>
  </si>
  <si>
    <t>jhu00036</t>
  </si>
  <si>
    <t>Molzym_Ultra-Deep_OMR_NEB_6_S32</t>
  </si>
  <si>
    <t>S1304-SC1 B10</t>
  </si>
  <si>
    <t>S32</t>
  </si>
  <si>
    <t>6.6 ng/ul</t>
  </si>
  <si>
    <t>jhu00037</t>
  </si>
  <si>
    <t>Qiagen_DNeasy_MCS_1_in_OMR_BD801_S47</t>
  </si>
  <si>
    <t>Qiagen DNeasy Blood_Tissue Kit</t>
  </si>
  <si>
    <t>S1304-SC1 E05</t>
  </si>
  <si>
    <t>13 ng/ul</t>
  </si>
  <si>
    <t>BD801</t>
  </si>
  <si>
    <t>jhu00038</t>
  </si>
  <si>
    <t>Qiagen_DNeasy_MCS_2_in_OMR_BH802_S23</t>
  </si>
  <si>
    <t>S1304-SC1 E06</t>
  </si>
  <si>
    <t>S23</t>
  </si>
  <si>
    <t>6.5 ng/ul</t>
  </si>
  <si>
    <t>BH802</t>
  </si>
  <si>
    <t>jhu00039</t>
  </si>
  <si>
    <t>Qiagen_DNeasy_MCS_7_S2</t>
  </si>
  <si>
    <t>S1304-SC1 A07</t>
  </si>
  <si>
    <t>7.3 ng/ul</t>
  </si>
  <si>
    <t>jhu00040</t>
  </si>
  <si>
    <t>Qiagen_DNeasy_MCS_HostZero_3_S5</t>
  </si>
  <si>
    <t>S1304-SC1 A03</t>
  </si>
  <si>
    <t>jhu00041</t>
  </si>
  <si>
    <t>Qiagen_DNeasy_MCS_MolYsis_1_S72</t>
  </si>
  <si>
    <t>S1304-SC1 A01</t>
  </si>
  <si>
    <t>S72</t>
  </si>
  <si>
    <t>3.2 ng/ul</t>
  </si>
  <si>
    <t>jhu00042</t>
  </si>
  <si>
    <t>Qiagen_DNeasy_MCS_NEB_5_S60</t>
  </si>
  <si>
    <t>S1304-SC1 A05</t>
  </si>
  <si>
    <t>S60</t>
  </si>
  <si>
    <t>4.2 ng/ul</t>
  </si>
  <si>
    <t>jhu00043</t>
  </si>
  <si>
    <t>Qiagen_DNeasy_OMR1_BD801_S61</t>
  </si>
  <si>
    <t>S1304-SC1 E07</t>
  </si>
  <si>
    <t>S61</t>
  </si>
  <si>
    <t>jhu00044</t>
  </si>
  <si>
    <t>Qiagen_DNeasy_OMR2_BH802_S12</t>
  </si>
  <si>
    <t>S1304-SC1 E08</t>
  </si>
  <si>
    <t>S12</t>
  </si>
  <si>
    <t>2.1 ng/ul</t>
  </si>
  <si>
    <t>jhu00045</t>
  </si>
  <si>
    <t>Qiagen_DNeasy_OMR_2_S74</t>
  </si>
  <si>
    <t>S1304-SC1 A08</t>
  </si>
  <si>
    <t>S74</t>
  </si>
  <si>
    <t>1.7 ng/ul</t>
  </si>
  <si>
    <t>jhu00046</t>
  </si>
  <si>
    <t>Qiagen_DNeasy_OMR_HostZero_4_S38</t>
  </si>
  <si>
    <t>S1304-SC1 A04</t>
  </si>
  <si>
    <t>jhu00047</t>
  </si>
  <si>
    <t>Qiagen_DNeasy_OMR_MolYsis_2_S53</t>
  </si>
  <si>
    <t>S1304-SC1 A02</t>
  </si>
  <si>
    <t>S53</t>
  </si>
  <si>
    <t>2 ng/ul</t>
  </si>
  <si>
    <t>jhu00048</t>
  </si>
  <si>
    <t>Qiagen_DNeasy_OMR_NEB_6_S57</t>
  </si>
  <si>
    <t>S1304-SC1 A06</t>
  </si>
  <si>
    <t>S57</t>
  </si>
  <si>
    <t>3.41 ng/ul</t>
  </si>
  <si>
    <t>jhu00049</t>
  </si>
  <si>
    <t>Qiagen_DNeasy_Water_S70</t>
  </si>
  <si>
    <t>S1304-SC1 E09</t>
  </si>
  <si>
    <t>S70</t>
  </si>
  <si>
    <t>2.2 ng/ul</t>
  </si>
  <si>
    <t>jhu00050</t>
  </si>
  <si>
    <t>Qiagen_Dneasy_CS_001_Air_Swab_S39</t>
  </si>
  <si>
    <t>S1304-SC1 D01</t>
  </si>
  <si>
    <t>1.9 ng/ul</t>
  </si>
  <si>
    <t>jhu00051</t>
  </si>
  <si>
    <t>Qiagen_Dneasy_CS_001_Right_Eye_S28</t>
  </si>
  <si>
    <t>S1304-SC1 C12</t>
  </si>
  <si>
    <t>S28</t>
  </si>
  <si>
    <t>Right</t>
  </si>
  <si>
    <t>27.7 ng/ul</t>
  </si>
  <si>
    <t>jhu00052</t>
  </si>
  <si>
    <t>Qiagen_Dneasy_CS_002_Air_Swab_S62</t>
  </si>
  <si>
    <t>S1304-SC1 D03</t>
  </si>
  <si>
    <t>S62</t>
  </si>
  <si>
    <t>3.7 ng/ul</t>
  </si>
  <si>
    <t>jhu00053</t>
  </si>
  <si>
    <t>Qiagen_Dneasy_CS_002_Left_Eye_S21</t>
  </si>
  <si>
    <t>S1304-SC1 D02</t>
  </si>
  <si>
    <t>Left</t>
  </si>
  <si>
    <t>18.7 ng/ul</t>
  </si>
  <si>
    <t>jhu00054</t>
  </si>
  <si>
    <t>Qiagen_Dneasy_CS_003_Air_Swab_S18</t>
  </si>
  <si>
    <t>S1304-SC1 D05</t>
  </si>
  <si>
    <t>1.3 ng/ul</t>
  </si>
  <si>
    <t>jhu00055</t>
  </si>
  <si>
    <t>Qiagen_Dneasy_CS_003_Right_Eye_S58</t>
  </si>
  <si>
    <t>S1304-SC1 D04</t>
  </si>
  <si>
    <t>S58</t>
  </si>
  <si>
    <t>6 ng/ul</t>
  </si>
  <si>
    <t>jhu00056</t>
  </si>
  <si>
    <t>Qiagen_Dneasy_CS_004_Air_Swab_S52</t>
  </si>
  <si>
    <t>S1304-SC1 D07</t>
  </si>
  <si>
    <t>S52</t>
  </si>
  <si>
    <t>7.6 ng/ul</t>
  </si>
  <si>
    <t>jhu00057</t>
  </si>
  <si>
    <t>Qiagen_Dneasy_CS_004_Left_Eye_S27</t>
  </si>
  <si>
    <t>S1304-SC1 D06</t>
  </si>
  <si>
    <t>S27</t>
  </si>
  <si>
    <t>2.7 ng/ul</t>
  </si>
  <si>
    <t>jhu00058</t>
  </si>
  <si>
    <t>Qiagen_Dneasy_CS_005_Air_Swab_S67</t>
  </si>
  <si>
    <t>S1304-SC1 D09</t>
  </si>
  <si>
    <t>S67</t>
  </si>
  <si>
    <t>4.3 ng/ul</t>
  </si>
  <si>
    <t>jhu00059</t>
  </si>
  <si>
    <t>Qiagen_Dneasy_CS_005_Right_Eye_S54</t>
  </si>
  <si>
    <t>S1304-SC1 D08</t>
  </si>
  <si>
    <t>S54</t>
  </si>
  <si>
    <t>14.2 ng/ul</t>
  </si>
  <si>
    <t>jhu00060</t>
  </si>
  <si>
    <t>Qiagen_Dneasy_CS_006_7_8_Air_Swab_S51</t>
  </si>
  <si>
    <t>S1304-SC1 E01</t>
  </si>
  <si>
    <t>S51</t>
  </si>
  <si>
    <t>1.6 ng/ul</t>
  </si>
  <si>
    <t>jhu00061</t>
  </si>
  <si>
    <t>Qiagen_Dneasy_CS_006_Left_Eye_S31</t>
  </si>
  <si>
    <t>S1304-SC1 D10</t>
  </si>
  <si>
    <t>S31</t>
  </si>
  <si>
    <t>jhu00062</t>
  </si>
  <si>
    <t>Qiagen_Dneasy_CS_007_Right_Eye_S4</t>
  </si>
  <si>
    <t>S1304-SC1 D11</t>
  </si>
  <si>
    <t>11.7 ng/ul</t>
  </si>
  <si>
    <t>jhu00063</t>
  </si>
  <si>
    <t>Qiagen_Dneasy_CS_008_Left_Eye_S33</t>
  </si>
  <si>
    <t>S1304-SC1 D12</t>
  </si>
  <si>
    <t>S33</t>
  </si>
  <si>
    <t>3.1 ng/ul</t>
  </si>
  <si>
    <t>jhu00064</t>
  </si>
  <si>
    <t>Qiagen_Dneasy_CS_009_10_Air_Swab_S48</t>
  </si>
  <si>
    <t>S1304-SC1 E04</t>
  </si>
  <si>
    <t>S48</t>
  </si>
  <si>
    <t>5.6 ng/ul</t>
  </si>
  <si>
    <t>jhu00065</t>
  </si>
  <si>
    <t>Qiagen_Dneasy_CS_009_Right_Eye_S41</t>
  </si>
  <si>
    <t>S1304-SC1 E02</t>
  </si>
  <si>
    <t>S41</t>
  </si>
  <si>
    <t>7.2 ng/ul</t>
  </si>
  <si>
    <t>jhu00066</t>
  </si>
  <si>
    <t>Qiagen_Dneasy_CS_010_Left_Eye_S45</t>
  </si>
  <si>
    <t>S1304-SC1 E03</t>
  </si>
  <si>
    <t>S45</t>
  </si>
  <si>
    <t>5.7 ng/ul</t>
  </si>
  <si>
    <t>jhu00067</t>
  </si>
  <si>
    <t>Qiagen_Soil_MCS_1_S29</t>
  </si>
  <si>
    <t>S1304-SC1 C07</t>
  </si>
  <si>
    <t>6.2 ng/ul</t>
  </si>
  <si>
    <t>1400 ul</t>
  </si>
  <si>
    <t>jhu00068</t>
  </si>
  <si>
    <t>Qiagen_Soil_OMR_8_S40</t>
  </si>
  <si>
    <t>S1304-SC1 C08</t>
  </si>
  <si>
    <t>S40</t>
  </si>
  <si>
    <t>3.9 ng/ul</t>
  </si>
  <si>
    <t>1600 ul</t>
  </si>
  <si>
    <t>jhu00069</t>
  </si>
  <si>
    <t>Water_S63</t>
  </si>
  <si>
    <t>Water Control</t>
  </si>
  <si>
    <t>Control</t>
  </si>
  <si>
    <t>S1304-SC1 C11</t>
  </si>
  <si>
    <t>S63</t>
  </si>
  <si>
    <t>jhu00070</t>
  </si>
  <si>
    <t>Zymo_Mini_Prep_CS_001_Air_Swab_S8</t>
  </si>
  <si>
    <t>S1304-SC1 E11</t>
  </si>
  <si>
    <t>0.9 ng/ul</t>
  </si>
  <si>
    <t>jhu00071</t>
  </si>
  <si>
    <t>Zymo_Mini_Prep_CS_001_Right_Eye_S46</t>
  </si>
  <si>
    <t>S1304-SC1 E10</t>
  </si>
  <si>
    <t>jhu00072</t>
  </si>
  <si>
    <t>Zymo_Mini_Prep_CS_002_Air_Swab_S64</t>
  </si>
  <si>
    <t>S1304-SC1 F01</t>
  </si>
  <si>
    <t>S64</t>
  </si>
  <si>
    <t>jhu00073</t>
  </si>
  <si>
    <t>Zymo_Mini_Prep_CS_002_Left_Eye_S43</t>
  </si>
  <si>
    <t>S1304-SC1 E12</t>
  </si>
  <si>
    <t>jhu00074</t>
  </si>
  <si>
    <t>Zymo_Mini_Prep_CS_003_Air_Swab_S77</t>
  </si>
  <si>
    <t>S1304-SC1 F03</t>
  </si>
  <si>
    <t>S77</t>
  </si>
  <si>
    <t>1 ng/ul</t>
  </si>
  <si>
    <t>jhu00075</t>
  </si>
  <si>
    <t>Zymo_Mini_Prep_CS_003_Right_Eye_S13</t>
  </si>
  <si>
    <t>S1304-SC1 F02</t>
  </si>
  <si>
    <t>2.3 ng/ul</t>
  </si>
  <si>
    <t>jhu00076</t>
  </si>
  <si>
    <t>Zymo_Mini_Prep_CS_004_Air_Swab_S66</t>
  </si>
  <si>
    <t>S1304-SC1 F05</t>
  </si>
  <si>
    <t>S66</t>
  </si>
  <si>
    <t>jhu00077</t>
  </si>
  <si>
    <t>Zymo_Mini_Prep_CS_004_Left_Eye_S78</t>
  </si>
  <si>
    <t>S1304-SC1 F04</t>
  </si>
  <si>
    <t>S78</t>
  </si>
  <si>
    <t>jhu00078</t>
  </si>
  <si>
    <t>Zymo_Mini_Prep_CS_005_Air_Swab_S30</t>
  </si>
  <si>
    <t>S1304-SC1 F07</t>
  </si>
  <si>
    <t>jhu00079</t>
  </si>
  <si>
    <t>Zymo_Mini_Prep_CS_005_Right_Eye_S17</t>
  </si>
  <si>
    <t>S1304-SC1 F06</t>
  </si>
  <si>
    <t>S17</t>
  </si>
  <si>
    <t>2.9 ng/ul</t>
  </si>
  <si>
    <t>jhu00080</t>
  </si>
  <si>
    <t>Zymo_Mini_Prep_CS_006_7_8_Air_Swab_S14</t>
  </si>
  <si>
    <t>S1304-SC1 F11</t>
  </si>
  <si>
    <t>S14</t>
  </si>
  <si>
    <t>jhu00081</t>
  </si>
  <si>
    <t>Zymo_Mini_Prep_CS_006_Left_Eye_S79</t>
  </si>
  <si>
    <t>S1304-SC1 F08</t>
  </si>
  <si>
    <t>S79</t>
  </si>
  <si>
    <t>jhu00082</t>
  </si>
  <si>
    <t>Zymo_Mini_Prep_CS_007_Right_Eye_S68</t>
  </si>
  <si>
    <t>S1304-SC1 F09</t>
  </si>
  <si>
    <t>S68</t>
  </si>
  <si>
    <t>jhu00083</t>
  </si>
  <si>
    <t>Zymo_Mini_Prep_CS_008_Left_Eye_S26</t>
  </si>
  <si>
    <t>S1304-SC1 F10</t>
  </si>
  <si>
    <t>S26</t>
  </si>
  <si>
    <t>jhu00084</t>
  </si>
  <si>
    <t>Zymo_Mini_Prep_CS_009_10_Air_Swab_S73</t>
  </si>
  <si>
    <t>S1304-SC1 G02</t>
  </si>
  <si>
    <t>S73</t>
  </si>
  <si>
    <t>jhu00085</t>
  </si>
  <si>
    <t>Zymo_Mini_Prep_CS_009_Right_Eye_S71</t>
  </si>
  <si>
    <t>S1304-SC1 F12</t>
  </si>
  <si>
    <t>S71</t>
  </si>
  <si>
    <t>jhu00086</t>
  </si>
  <si>
    <t>Zymo_Mini_Prep_CS_010_Left_Eye_S75</t>
  </si>
  <si>
    <t>S1304-SC1 G01</t>
  </si>
  <si>
    <t>S75</t>
  </si>
  <si>
    <t>jhu00087</t>
  </si>
  <si>
    <t>Zymo_Mini_Prep_MCS_1_in_OMR_BD801_S9</t>
  </si>
  <si>
    <t>S1304-SC1 G03</t>
  </si>
  <si>
    <t>S9</t>
  </si>
  <si>
    <t>jhu00088</t>
  </si>
  <si>
    <t>Zymo_Mini_Prep_MCS_2_in_OMR_BH802_S50</t>
  </si>
  <si>
    <t>S1304-SC1 G04</t>
  </si>
  <si>
    <t>S50</t>
  </si>
  <si>
    <t>jhu00089</t>
  </si>
  <si>
    <t>Zymo_Mini_Prep_MCS_7_S25</t>
  </si>
  <si>
    <t>S1304-SC1 B03</t>
  </si>
  <si>
    <t>S25</t>
  </si>
  <si>
    <t>jhu00090</t>
  </si>
  <si>
    <t>Zymo_Mini_Prep_MCS_HostZero_3_S20</t>
  </si>
  <si>
    <t>S1304-SC1 A11</t>
  </si>
  <si>
    <t>jhu00091</t>
  </si>
  <si>
    <t>Zymo_Mini_Prep_MCS_MolYsis_1_S49</t>
  </si>
  <si>
    <t>S1304-SC1 A09</t>
  </si>
  <si>
    <t>S49</t>
  </si>
  <si>
    <t>15.4 ng/ul</t>
  </si>
  <si>
    <t>jhu00092</t>
  </si>
  <si>
    <t>Zymo_Mini_Prep_MCS_NEB_5_S76</t>
  </si>
  <si>
    <t>S1304-SC1 B01</t>
  </si>
  <si>
    <t>S76</t>
  </si>
  <si>
    <t>jhu00093</t>
  </si>
  <si>
    <t>Zymo_Mini_Prep_OMR1_BD801_S69</t>
  </si>
  <si>
    <t>S1304-SC1 G05</t>
  </si>
  <si>
    <t>S69</t>
  </si>
  <si>
    <t>jhu00094</t>
  </si>
  <si>
    <t>Zymo_Mini_Prep_OMR2_BH802_S7</t>
  </si>
  <si>
    <t>S1304-SC1 G06</t>
  </si>
  <si>
    <t>S7</t>
  </si>
  <si>
    <t>jhu00095</t>
  </si>
  <si>
    <t>Zymo_Mini_Prep_OMR_8_S36</t>
  </si>
  <si>
    <t>S1304-SC1 B04</t>
  </si>
  <si>
    <t>S36</t>
  </si>
  <si>
    <t>jhu00096</t>
  </si>
  <si>
    <t>Zymo_Mini_Prep_OMR_HostZero_4_S1</t>
  </si>
  <si>
    <t>S1304-SC1 A12</t>
  </si>
  <si>
    <t>S1</t>
  </si>
  <si>
    <t>jhu00097</t>
  </si>
  <si>
    <t>Zymo_Mini_Prep_OMR_MolYsis_2_S16</t>
  </si>
  <si>
    <t>S1304-SC1 A10</t>
  </si>
  <si>
    <t>S16</t>
  </si>
  <si>
    <t>jhu00098</t>
  </si>
  <si>
    <t>Zymo_Mini_Prep_OMR_NEB_6_S55</t>
  </si>
  <si>
    <t>S1304-SC1 B02</t>
  </si>
  <si>
    <t>S55</t>
  </si>
  <si>
    <t>jhu00099</t>
  </si>
  <si>
    <t>Zymo_Mini_Prep_Water_S65</t>
  </si>
  <si>
    <t>S1304-SC1 G07</t>
  </si>
  <si>
    <t>S65</t>
  </si>
  <si>
    <t>jhu00100</t>
  </si>
  <si>
    <t>10_Zymo_Micro_Prep_CS_010_Right_Eye_S90</t>
  </si>
  <si>
    <t>2025-03-14</t>
  </si>
  <si>
    <t>Zymo Micro Prep Kit</t>
  </si>
  <si>
    <t>S1289-SC2 A10</t>
  </si>
  <si>
    <t>S90</t>
  </si>
  <si>
    <t>False</t>
  </si>
  <si>
    <t>1.1 ng/ul</t>
  </si>
  <si>
    <t>20 ul</t>
  </si>
  <si>
    <t>jhu00101</t>
  </si>
  <si>
    <t>11_Zymo_Micro_Prep_CS_007_Air_Swab_S91</t>
  </si>
  <si>
    <t>S1289-SC2 A11</t>
  </si>
  <si>
    <t>S91</t>
  </si>
  <si>
    <t>jhu00102</t>
  </si>
  <si>
    <t>12_Zymo_Micro_Prep_CS_010_Air_Swab_S92</t>
  </si>
  <si>
    <t>S1289-SC2 A12</t>
  </si>
  <si>
    <t>S92</t>
  </si>
  <si>
    <t>jhu00103</t>
  </si>
  <si>
    <t>13_Zymo_Microprep_MCS_OMR_BD801_S93</t>
  </si>
  <si>
    <t>S1289-SC2 B01</t>
  </si>
  <si>
    <t>S93</t>
  </si>
  <si>
    <t>True</t>
  </si>
  <si>
    <t>jhu00104</t>
  </si>
  <si>
    <t>14_Zymo_Microprep_OMR_BD801_S94</t>
  </si>
  <si>
    <t>S1289-SC2 B02</t>
  </si>
  <si>
    <t>S94</t>
  </si>
  <si>
    <t>0.7 ng/ul</t>
  </si>
  <si>
    <t>jhu00105</t>
  </si>
  <si>
    <t>15_Qiagen_Soil_Pro_CS_001_Left_Eye_S95</t>
  </si>
  <si>
    <t>Qiagen PowerSoil Pro Kits</t>
  </si>
  <si>
    <t>S1289-SC2 B03</t>
  </si>
  <si>
    <t>S95</t>
  </si>
  <si>
    <t>jhu00106</t>
  </si>
  <si>
    <t>16_Qiagen_Soil_Pro_CS_002_Right_Eye_S96</t>
  </si>
  <si>
    <t>S1289-SC2 B04</t>
  </si>
  <si>
    <t>S96</t>
  </si>
  <si>
    <t>5.1 ng/ul</t>
  </si>
  <si>
    <t>jhu00107</t>
  </si>
  <si>
    <t>17_Qiagen_Soil_Pro_CS_003_Left_Eye_S1</t>
  </si>
  <si>
    <t>S1289-SC2 B05</t>
  </si>
  <si>
    <t>23.9 ng/ul</t>
  </si>
  <si>
    <t>jhu00108</t>
  </si>
  <si>
    <t>18_Qiagen_Soil_Pro_CS_004_Right_Eye_S2</t>
  </si>
  <si>
    <t>S1289-SC2 B06</t>
  </si>
  <si>
    <t>jhu00109</t>
  </si>
  <si>
    <t>19_Qiagen_Soil_Pro_CS_005_Left_Eye_S3</t>
  </si>
  <si>
    <t>S1289-SC2 B07</t>
  </si>
  <si>
    <t>2.4 ng/ul</t>
  </si>
  <si>
    <t>jhu00110</t>
  </si>
  <si>
    <t>1_Zymo_Micro_Prep_CS_001_Left_Eye_S81</t>
  </si>
  <si>
    <t>S1289-SC2 A01</t>
  </si>
  <si>
    <t>S81</t>
  </si>
  <si>
    <t>0.5 ng/ul</t>
  </si>
  <si>
    <t>jhu00111</t>
  </si>
  <si>
    <t>20_Qiagen_Soil_Pro_CS_006_Right_Eye_S4</t>
  </si>
  <si>
    <t>S1289-SC2 B08</t>
  </si>
  <si>
    <t>jhu00112</t>
  </si>
  <si>
    <t>21_Qiagen_Soil_Pro_CS_007_Left_Eye_S5</t>
  </si>
  <si>
    <t>S1289-SC2 B09</t>
  </si>
  <si>
    <t>21.1 ng/ul</t>
  </si>
  <si>
    <t>jhu00113</t>
  </si>
  <si>
    <t>22_Qiagen_Soil_Pro_CS_008_Right_Eye_S6</t>
  </si>
  <si>
    <t>S1289-SC2 B10</t>
  </si>
  <si>
    <t>S6</t>
  </si>
  <si>
    <t>31.1 ng/ul</t>
  </si>
  <si>
    <t>jhu00114</t>
  </si>
  <si>
    <t>23_Qiagen_Soil_Pro_CS_009_Left_Eye_S7</t>
  </si>
  <si>
    <t>S1289-SC2 B11</t>
  </si>
  <si>
    <t>jhu00115</t>
  </si>
  <si>
    <t>24_Qiagen_Soil_Pro_CS_010_Right_Eye_S8</t>
  </si>
  <si>
    <t>S1289-SC2 B12</t>
  </si>
  <si>
    <t>8.9 ng/ul</t>
  </si>
  <si>
    <t>jhu00116</t>
  </si>
  <si>
    <t>25_Qiagen_Soil_Pro_CS_007_Air_Swab_S9</t>
  </si>
  <si>
    <t>S1289-SC2 C01</t>
  </si>
  <si>
    <t>jhu00117</t>
  </si>
  <si>
    <t>26_Qiagen_Soil_Pro_CS_010_Air_Swab_S10</t>
  </si>
  <si>
    <t>S1289-SC2 C02</t>
  </si>
  <si>
    <t>8 ng/ul</t>
  </si>
  <si>
    <t>jhu00118</t>
  </si>
  <si>
    <t>27_Qiagen_Soil_Pro_MCS_OMR_BD801_S11</t>
  </si>
  <si>
    <t>S1289-SC2 C03</t>
  </si>
  <si>
    <t>jhu00119</t>
  </si>
  <si>
    <t>28_Qiagen_Soil_Pro_OMR_BD801_S12</t>
  </si>
  <si>
    <t>S1289-SC2 C04</t>
  </si>
  <si>
    <t>jhu00120</t>
  </si>
  <si>
    <t>29_Z_Mini_049_Conj_L_1_S13</t>
  </si>
  <si>
    <t>S1289-SC2 C05</t>
  </si>
  <si>
    <t>jhu00121</t>
  </si>
  <si>
    <t>2_Zymo_Micro_Prep_CS_002_Right_Eye_S82</t>
  </si>
  <si>
    <t>S1289-SC2 A02</t>
  </si>
  <si>
    <t>S82</t>
  </si>
  <si>
    <t>jhu00122</t>
  </si>
  <si>
    <t>30_Z_Mini_049_049_Lid_L_1_S14</t>
  </si>
  <si>
    <t>S1289-SC2 C06</t>
  </si>
  <si>
    <t>4.5 ng/ul</t>
  </si>
  <si>
    <t>jhu00123</t>
  </si>
  <si>
    <t>31_Z_Mini_049_Skin_L_1_S15</t>
  </si>
  <si>
    <t>S1289-SC2 C07</t>
  </si>
  <si>
    <t>2.6 ng/ul</t>
  </si>
  <si>
    <t>jhu00124</t>
  </si>
  <si>
    <t>32_Z_Mini_049_Conj_L_2_S16</t>
  </si>
  <si>
    <t>S1289-SC2 C08</t>
  </si>
  <si>
    <t>jhu00125</t>
  </si>
  <si>
    <t>33_Z_Mini_049_Lid_L_2_S17</t>
  </si>
  <si>
    <t>S1289-SC2 C09</t>
  </si>
  <si>
    <t>jhu00126</t>
  </si>
  <si>
    <t>34_Z_Mini_049_Skin_L_2_S18</t>
  </si>
  <si>
    <t>S1289-SC2 C10</t>
  </si>
  <si>
    <t>5.9 ng/ul</t>
  </si>
  <si>
    <t>jhu00127</t>
  </si>
  <si>
    <t>35_Z_Mini_049_Conj_L_3_S19</t>
  </si>
  <si>
    <t>S1289-SC2 C11</t>
  </si>
  <si>
    <t>jhu00128</t>
  </si>
  <si>
    <t>36_Z_Mini_049_Lid_L_3_S20</t>
  </si>
  <si>
    <t>S1289-SC2 C12</t>
  </si>
  <si>
    <t>jhu00129</t>
  </si>
  <si>
    <t>37_Z_Mini_049_Skin_L_3_S21</t>
  </si>
  <si>
    <t>S1289-SC2 D01</t>
  </si>
  <si>
    <t>2.5 ng/ul</t>
  </si>
  <si>
    <t>jhu00130</t>
  </si>
  <si>
    <t>38_Z_Mini_050_Conj_R_1_S22</t>
  </si>
  <si>
    <t>S1289-SC2 D02</t>
  </si>
  <si>
    <t>jhu00131</t>
  </si>
  <si>
    <t>39_Z_Mini_050_Lid_R_1_S23</t>
  </si>
  <si>
    <t>S1289-SC2 D03</t>
  </si>
  <si>
    <t>jhu00132</t>
  </si>
  <si>
    <t>3_Zymo_Micro_Prep_CS_003_Left_Eye_S83</t>
  </si>
  <si>
    <t>S1289-SC2 A03</t>
  </si>
  <si>
    <t>S83</t>
  </si>
  <si>
    <t>jhu00133</t>
  </si>
  <si>
    <t>40_Z_Mini_050_Skin_R_1_S24</t>
  </si>
  <si>
    <t>S1289-SC2 D04</t>
  </si>
  <si>
    <t>jhu00134</t>
  </si>
  <si>
    <t>41_Z_Mini_050_Conj_R_2_S25</t>
  </si>
  <si>
    <t>S1289-SC2 D05</t>
  </si>
  <si>
    <t>jhu00135</t>
  </si>
  <si>
    <t>42_Z_Mini_050_Lid_R_2_S26</t>
  </si>
  <si>
    <t>S1289-SC2 D06</t>
  </si>
  <si>
    <t>jhu00136</t>
  </si>
  <si>
    <t>43_Z_Mini_050_Skin_R_2_S27</t>
  </si>
  <si>
    <t>S1289-SC2 D07</t>
  </si>
  <si>
    <t>jhu00137</t>
  </si>
  <si>
    <t>44_Z_Mini_050_Conj_R_3_S28</t>
  </si>
  <si>
    <t>S1289-SC2 D08</t>
  </si>
  <si>
    <t>jhu00138</t>
  </si>
  <si>
    <t>45_Z_Mini_050_Lid_R_3_S29</t>
  </si>
  <si>
    <t>S1289-SC2 D09</t>
  </si>
  <si>
    <t>jhu00139</t>
  </si>
  <si>
    <t>46_Z_Mini_050_Skin_R_3_S30</t>
  </si>
  <si>
    <t>S1289-SC2 D10</t>
  </si>
  <si>
    <t>jhu00140</t>
  </si>
  <si>
    <t>47_Z_Mini_051_Conj_L_1_S31</t>
  </si>
  <si>
    <t>S1289-SC2 D11</t>
  </si>
  <si>
    <t>jhu00141</t>
  </si>
  <si>
    <t>48_Z_Mini_051_Lid_L_1_S32</t>
  </si>
  <si>
    <t>S1289-SC2 D12</t>
  </si>
  <si>
    <t>jhu00142</t>
  </si>
  <si>
    <t>49_Z_Mini_051_Skin_L_1_S33</t>
  </si>
  <si>
    <t>S1289-SC2 E01</t>
  </si>
  <si>
    <t>jhu00143</t>
  </si>
  <si>
    <t>4_Zymo_Micro_Prep_CS_004_Right_Eye_S84</t>
  </si>
  <si>
    <t>S1289-SC2 A04</t>
  </si>
  <si>
    <t>S84</t>
  </si>
  <si>
    <t>0.6 ng/ul</t>
  </si>
  <si>
    <t>jhu00144</t>
  </si>
  <si>
    <t>50_Z_Mini_051_Conj_L_2_S34</t>
  </si>
  <si>
    <t>S1289-SC2 E02</t>
  </si>
  <si>
    <t>jhu00145</t>
  </si>
  <si>
    <t>51_Z_Mini_051_Lid_L_2_S35</t>
  </si>
  <si>
    <t>S1289-SC2 E03</t>
  </si>
  <si>
    <t>jhu00146</t>
  </si>
  <si>
    <t>52_Z_Mini_051_Skin_L_2_S36</t>
  </si>
  <si>
    <t>S1289-SC2 E04</t>
  </si>
  <si>
    <t>jhu00147</t>
  </si>
  <si>
    <t>53_Z_Mini_051_Conj_L_3_S37</t>
  </si>
  <si>
    <t>S1289-SC2 E05</t>
  </si>
  <si>
    <t>jhu00148</t>
  </si>
  <si>
    <t>54_Z_Mini_051_Lid_L_3_S38</t>
  </si>
  <si>
    <t>S1289-SC2 E06</t>
  </si>
  <si>
    <t>jhu00149</t>
  </si>
  <si>
    <t>55_Z_Mini_051_Skin_L_3_S39</t>
  </si>
  <si>
    <t>S1289-SC2 E07</t>
  </si>
  <si>
    <t>jhu00150</t>
  </si>
  <si>
    <t>56_Z_Mini_049_ISO_Cont_1_S40</t>
  </si>
  <si>
    <t>S1289-SC2 E08</t>
  </si>
  <si>
    <t>Isohelix</t>
  </si>
  <si>
    <t>jhu00151</t>
  </si>
  <si>
    <t>57_Z_Mini_050_ISO_Cont_1_S41</t>
  </si>
  <si>
    <t>S1289-SC2 E09</t>
  </si>
  <si>
    <t>jhu00152</t>
  </si>
  <si>
    <t>58_Z_Mini_049_ISO_Cont_2_S42</t>
  </si>
  <si>
    <t>S1289-SC2 E10</t>
  </si>
  <si>
    <t>3.3 ng/ul</t>
  </si>
  <si>
    <t>jhu00153</t>
  </si>
  <si>
    <t>59_Z_Mini_050_ISO_Cont_3_S43</t>
  </si>
  <si>
    <t>S1289-SC2 E11</t>
  </si>
  <si>
    <t>jhu00154</t>
  </si>
  <si>
    <t>5_Zymo_Micro_Prep_CS_005_Left_Eye_S85</t>
  </si>
  <si>
    <t>S1289-SC2 A05</t>
  </si>
  <si>
    <t>S85</t>
  </si>
  <si>
    <t>1.4 ng/ul</t>
  </si>
  <si>
    <t>jhu00155</t>
  </si>
  <si>
    <t>60_Z_Mini_049_ISO_Cont_3_S44</t>
  </si>
  <si>
    <t>S1289-SC2 E12</t>
  </si>
  <si>
    <t>jhu00156</t>
  </si>
  <si>
    <t>61_Z_Mini__MCS_OMR_B1001_S45</t>
  </si>
  <si>
    <t>S1289-SC2 F01</t>
  </si>
  <si>
    <t>4.4 ng/ul</t>
  </si>
  <si>
    <t>jhu00157</t>
  </si>
  <si>
    <t>62_Z_Mini__OMR_B1001_S46</t>
  </si>
  <si>
    <t>S1289-SC2 F02</t>
  </si>
  <si>
    <t>jhu00158</t>
  </si>
  <si>
    <t>63_Qiagen_DNeasy_049_Conj_L_1_S47</t>
  </si>
  <si>
    <t>S1289-SC2 F03</t>
  </si>
  <si>
    <t>jhu00159</t>
  </si>
  <si>
    <t>64_Qiagen_DNeasy_049_049_Lid_L_1_S48</t>
  </si>
  <si>
    <t>S1289-SC2 F04</t>
  </si>
  <si>
    <t>jhu00160</t>
  </si>
  <si>
    <t>65_Qiagen_DNeasy_049_Skin_L_1_S49</t>
  </si>
  <si>
    <t>S1289-SC2 F05</t>
  </si>
  <si>
    <t>jhu00161</t>
  </si>
  <si>
    <t>66_Qiagen_DNeasy_049_Conj_L_2_S50</t>
  </si>
  <si>
    <t>S1289-SC2 F06</t>
  </si>
  <si>
    <t>jhu00162</t>
  </si>
  <si>
    <t>67_Qiagen_DNeasy_049_Lid_L_2_S51</t>
  </si>
  <si>
    <t>S1289-SC2 F07</t>
  </si>
  <si>
    <t>jhu00163</t>
  </si>
  <si>
    <t>68_Qiagen_DNeasy_049_Skin_L_2_S52</t>
  </si>
  <si>
    <t>S1289-SC2 F08</t>
  </si>
  <si>
    <t>jhu00164</t>
  </si>
  <si>
    <t>69_Qiagen_DNeasy_049_Conj_L_3_S53</t>
  </si>
  <si>
    <t>S1289-SC2 F09</t>
  </si>
  <si>
    <t>jhu00165</t>
  </si>
  <si>
    <t>6_Zymo_Micro_Prep_CS_006_Right_Eye_S86</t>
  </si>
  <si>
    <t>S1289-SC2 A06</t>
  </si>
  <si>
    <t>S86</t>
  </si>
  <si>
    <t>jhu00166</t>
  </si>
  <si>
    <t>70_Qiagen_DNeasy_049_Lid_L_3_S54</t>
  </si>
  <si>
    <t>S1289-SC2 F10</t>
  </si>
  <si>
    <t>3 ng/ul</t>
  </si>
  <si>
    <t>jhu00167</t>
  </si>
  <si>
    <t>71_Qiagen_DNeasy_049_Skin_L_3_S55</t>
  </si>
  <si>
    <t>S1289-SC2 F11</t>
  </si>
  <si>
    <t>jhu00168</t>
  </si>
  <si>
    <t>72_Qiagen_DNeasy_050_Conj_R_1_S56</t>
  </si>
  <si>
    <t>S1289-SC2 F12</t>
  </si>
  <si>
    <t>jhu00169</t>
  </si>
  <si>
    <t>73_Qiagen_DNeasy_050_Lid_R_1_S57</t>
  </si>
  <si>
    <t>S1289-SC2 G01</t>
  </si>
  <si>
    <t>jhu00170</t>
  </si>
  <si>
    <t>74_Qiagen_DNeasy_050_Skin_R_1_S58</t>
  </si>
  <si>
    <t>S1289-SC2 G02</t>
  </si>
  <si>
    <t>jhu00171</t>
  </si>
  <si>
    <t>75_Qiagen_DNeasy_050_Conj_R_2_S59</t>
  </si>
  <si>
    <t>S1289-SC2 G03</t>
  </si>
  <si>
    <t>jhu00172</t>
  </si>
  <si>
    <t>76_Qiagen_DNeasy_050_Lid_R_2_S60</t>
  </si>
  <si>
    <t>S1289-SC2 G04</t>
  </si>
  <si>
    <t>jhu00173</t>
  </si>
  <si>
    <t>77_Qiagen_DNeasy_050_Skin_R_2_S61</t>
  </si>
  <si>
    <t>S1289-SC2 G05</t>
  </si>
  <si>
    <t>jhu00174</t>
  </si>
  <si>
    <t>78_Qiagen_DNeasy_050_Conj_R_3_S62</t>
  </si>
  <si>
    <t>S1289-SC2 G06</t>
  </si>
  <si>
    <t>jhu00175</t>
  </si>
  <si>
    <t>79_Qiagen_DNeasy_050_Lid_R_3_S63</t>
  </si>
  <si>
    <t>S1289-SC2 G07</t>
  </si>
  <si>
    <t>jhu00176</t>
  </si>
  <si>
    <t>7_Zymo_Micro_Prep_CS_007_Left_Eye_S87</t>
  </si>
  <si>
    <t>S1289-SC2 A07</t>
  </si>
  <si>
    <t>S87</t>
  </si>
  <si>
    <t>jhu00177</t>
  </si>
  <si>
    <t>80_Qiagen_DNeasy_050_Skin_R_3_S64</t>
  </si>
  <si>
    <t>S1289-SC2 G08</t>
  </si>
  <si>
    <t>jhu00178</t>
  </si>
  <si>
    <t>81_Qiagen_DNeasy_051_Conj_L_1_S65</t>
  </si>
  <si>
    <t>S1289-SC2 G09</t>
  </si>
  <si>
    <t>8.5 ng/ul</t>
  </si>
  <si>
    <t>jhu00179</t>
  </si>
  <si>
    <t>82_Qiagen_DNeasy_051_Lid_L_1_S66</t>
  </si>
  <si>
    <t>S1289-SC2 G10</t>
  </si>
  <si>
    <t>jhu00180</t>
  </si>
  <si>
    <t>83_Qiagen_DNeasy_051_Skin_L_1_S67</t>
  </si>
  <si>
    <t>S1289-SC2 G11</t>
  </si>
  <si>
    <t>jhu00181</t>
  </si>
  <si>
    <t>84_Qiagen_DNeasy_051_Conj_L_2_S68</t>
  </si>
  <si>
    <t>S1289-SC2 G12</t>
  </si>
  <si>
    <t>jhu00182</t>
  </si>
  <si>
    <t>85_Qiagen_DNeasy_051_Lid_L_2_S69</t>
  </si>
  <si>
    <t>S1289-SC2 H01</t>
  </si>
  <si>
    <t>4.6 ng/ul</t>
  </si>
  <si>
    <t>jhu00183</t>
  </si>
  <si>
    <t>86_Qiagen_DNeasy_051_Skin_L_2_S70</t>
  </si>
  <si>
    <t>S1289-SC2 H02</t>
  </si>
  <si>
    <t>jhu00184</t>
  </si>
  <si>
    <t>87_Qiagen_DNeasy_051_Conj_L_3_S71</t>
  </si>
  <si>
    <t>S1289-SC2 H03</t>
  </si>
  <si>
    <t>4.1 ng/ul</t>
  </si>
  <si>
    <t>jhu00185</t>
  </si>
  <si>
    <t>88_Qiagen_DNeasy_051_Lid_L_3_S72</t>
  </si>
  <si>
    <t>S1289-SC2 H04</t>
  </si>
  <si>
    <t>8.6 ng/ul</t>
  </si>
  <si>
    <t>jhu00186</t>
  </si>
  <si>
    <t>89_Qiagen_DNeasy_051_Skin_L_3_S73</t>
  </si>
  <si>
    <t>S1289-SC2 H05</t>
  </si>
  <si>
    <t>jhu00187</t>
  </si>
  <si>
    <t>8_Zymo_Micro_Prep_CS_008_Right_Eye_S88</t>
  </si>
  <si>
    <t>S1289-SC2 A08</t>
  </si>
  <si>
    <t>S88</t>
  </si>
  <si>
    <t>jhu00188</t>
  </si>
  <si>
    <t>90_Qiagen_DNeasy_049_ISO_Cont_1_S74</t>
  </si>
  <si>
    <t>S1289-SC2 H06</t>
  </si>
  <si>
    <t>3.6 ng/ul</t>
  </si>
  <si>
    <t>jhu00189</t>
  </si>
  <si>
    <t>91_Qiagen_DNeasy_050_ISO_Cont_1_S75</t>
  </si>
  <si>
    <t>S1289-SC2 H07</t>
  </si>
  <si>
    <t>6.1 ng/ul</t>
  </si>
  <si>
    <t>jhu00190</t>
  </si>
  <si>
    <t>92_Qiagen_DNeasy_049_ISO_Cont_2_S76</t>
  </si>
  <si>
    <t>S1289-SC2 H08</t>
  </si>
  <si>
    <t>jhu00191</t>
  </si>
  <si>
    <t>93_Qiagen_DNeasy_050_ISO_Cont_3_S77</t>
  </si>
  <si>
    <t>S1289-SC2 H09</t>
  </si>
  <si>
    <t>5 ng/ul</t>
  </si>
  <si>
    <t>jhu00192</t>
  </si>
  <si>
    <t>94_Qiagen_DNeasy_049_ISO_Cont_3_S78</t>
  </si>
  <si>
    <t>S1289-SC2 H10</t>
  </si>
  <si>
    <t>jhu00193</t>
  </si>
  <si>
    <t>95_Qiagen_DNeasy_MCS_OMR_B1001_S79</t>
  </si>
  <si>
    <t>S1289-SC2 H11</t>
  </si>
  <si>
    <t>jhu00194</t>
  </si>
  <si>
    <t>96_Qiagen_DNeasy_OMR_B1001_S80</t>
  </si>
  <si>
    <t>S1289-SC2 H12</t>
  </si>
  <si>
    <t>S80</t>
  </si>
  <si>
    <t>7 ng/ul</t>
  </si>
  <si>
    <t>jhu00195</t>
  </si>
  <si>
    <t>9_Zymo_Micro_Prep_CS_009_Left_Eye_S89</t>
  </si>
  <si>
    <t>S1289-SC2 A09</t>
  </si>
  <si>
    <t>S89</t>
  </si>
  <si>
    <t>jhu00196</t>
  </si>
  <si>
    <t>025RM_Conj_L_1_S1</t>
  </si>
  <si>
    <t>2025-08-06</t>
  </si>
  <si>
    <t>Conj</t>
  </si>
  <si>
    <t>2</t>
  </si>
  <si>
    <t>2024-10-09</t>
  </si>
  <si>
    <t>A2</t>
  </si>
  <si>
    <t>L006</t>
  </si>
  <si>
    <t>Puritan</t>
  </si>
  <si>
    <t>BG001</t>
  </si>
  <si>
    <t>jhu00197</t>
  </si>
  <si>
    <t>025RM_Conj_L_2_S2</t>
  </si>
  <si>
    <t>2025-10-16</t>
  </si>
  <si>
    <t>1.8</t>
  </si>
  <si>
    <t>B2</t>
  </si>
  <si>
    <t>jhu00198</t>
  </si>
  <si>
    <t>025RM_Conj_L_3_S3</t>
  </si>
  <si>
    <t>2024-11-06</t>
  </si>
  <si>
    <t>B11</t>
  </si>
  <si>
    <t>jhu00199</t>
  </si>
  <si>
    <t>025RM_Conj_R_1_S4</t>
  </si>
  <si>
    <t>1.5</t>
  </si>
  <si>
    <t>A1</t>
  </si>
  <si>
    <t>ISOHELIX-mini</t>
  </si>
  <si>
    <t>jhu00200</t>
  </si>
  <si>
    <t>025RM_Conj_R_2_S5</t>
  </si>
  <si>
    <t>2024-10-16</t>
  </si>
  <si>
    <t>1.6</t>
  </si>
  <si>
    <t>B1</t>
  </si>
  <si>
    <t>jhu00201</t>
  </si>
  <si>
    <t>025RM_Conj_R_3_S6</t>
  </si>
  <si>
    <t>1.7</t>
  </si>
  <si>
    <t>B10</t>
  </si>
  <si>
    <t>jhu00202</t>
  </si>
  <si>
    <t>025RM_ISO_CONT_3_S7</t>
  </si>
  <si>
    <t>35</t>
  </si>
  <si>
    <t>2.7</t>
  </si>
  <si>
    <t>C11</t>
  </si>
  <si>
    <t>jhu00203</t>
  </si>
  <si>
    <t>025RM_Lid_L_1_S8</t>
  </si>
  <si>
    <t>1.1</t>
  </si>
  <si>
    <t>A4</t>
  </si>
  <si>
    <t>jhu00204</t>
  </si>
  <si>
    <t>025RM_Lid_L_2_S9</t>
  </si>
  <si>
    <t>2027-10-16</t>
  </si>
  <si>
    <t>0.7</t>
  </si>
  <si>
    <t>B4</t>
  </si>
  <si>
    <t>jhu00205</t>
  </si>
  <si>
    <t>025RM_Lid_L_3_S10</t>
  </si>
  <si>
    <t>C1</t>
  </si>
  <si>
    <t>jhu00206</t>
  </si>
  <si>
    <t>025RM_Lid_R_1_S11</t>
  </si>
  <si>
    <t>3</t>
  </si>
  <si>
    <t>2.1</t>
  </si>
  <si>
    <t>A3</t>
  </si>
  <si>
    <t>jhu00207</t>
  </si>
  <si>
    <t>025RM_Lid_R_2_S12</t>
  </si>
  <si>
    <t>2026-10-16</t>
  </si>
  <si>
    <t>B3</t>
  </si>
  <si>
    <t>jhu00208</t>
  </si>
  <si>
    <t>025RM_Lid_R_3_S13</t>
  </si>
  <si>
    <t>2.2</t>
  </si>
  <si>
    <t>B12</t>
  </si>
  <si>
    <t>jhu00209</t>
  </si>
  <si>
    <t>025RM_PUR_CONT_1_S14</t>
  </si>
  <si>
    <t>B7</t>
  </si>
  <si>
    <t>jhu00210</t>
  </si>
  <si>
    <t>025RM_PUR_CONT_2_S15</t>
  </si>
  <si>
    <t>1.3</t>
  </si>
  <si>
    <t>B9</t>
  </si>
  <si>
    <t>jhu00211</t>
  </si>
  <si>
    <t>025RM_PUR_CONT_3_S16</t>
  </si>
  <si>
    <t>2.8</t>
  </si>
  <si>
    <t>C10</t>
  </si>
  <si>
    <t>jhu00212</t>
  </si>
  <si>
    <t>025RM_Skin_L_1_S17</t>
  </si>
  <si>
    <t>A6</t>
  </si>
  <si>
    <t>jhu00213</t>
  </si>
  <si>
    <t>025RM_Skin_L_2_S18</t>
  </si>
  <si>
    <t>2029-10-16</t>
  </si>
  <si>
    <t>B6</t>
  </si>
  <si>
    <t>jhu00214</t>
  </si>
  <si>
    <t>025RM_Skin_L_3_S19</t>
  </si>
  <si>
    <t>2.6</t>
  </si>
  <si>
    <t>C3</t>
  </si>
  <si>
    <t>jhu00215</t>
  </si>
  <si>
    <t>025RM_Skin_R_1_S20</t>
  </si>
  <si>
    <t>A5</t>
  </si>
  <si>
    <t>jhu00216</t>
  </si>
  <si>
    <t>025RM_Skin_R_2_S21</t>
  </si>
  <si>
    <t>2028-10-16</t>
  </si>
  <si>
    <t>B5</t>
  </si>
  <si>
    <t>jhu00217</t>
  </si>
  <si>
    <t>025RM_Skin_R_3_S22</t>
  </si>
  <si>
    <t>C2</t>
  </si>
  <si>
    <t>jhu00218</t>
  </si>
  <si>
    <t>026MH_Conj_L_1_S23</t>
  </si>
  <si>
    <t>A8</t>
  </si>
  <si>
    <t>jhu00219</t>
  </si>
  <si>
    <t>026MH_Conj_L_2_S24</t>
  </si>
  <si>
    <t>2024-10-23</t>
  </si>
  <si>
    <t>D6</t>
  </si>
  <si>
    <t>jhu00220</t>
  </si>
  <si>
    <t>026MH_Conj_L_3_S25</t>
  </si>
  <si>
    <t>2024-10-30</t>
  </si>
  <si>
    <t>F2</t>
  </si>
  <si>
    <t>jhu00221</t>
  </si>
  <si>
    <t>026MH_Conj_R_1_S26</t>
  </si>
  <si>
    <t>A7</t>
  </si>
  <si>
    <t>jhu00222</t>
  </si>
  <si>
    <t>026MH_Conj_R_2_S27</t>
  </si>
  <si>
    <t>D5</t>
  </si>
  <si>
    <t>jhu00223</t>
  </si>
  <si>
    <t>026MH_Conj_R_3_S28</t>
  </si>
  <si>
    <t>F1</t>
  </si>
  <si>
    <t>jhu00224</t>
  </si>
  <si>
    <t>026MH_ISO_CONT_1_S29</t>
  </si>
  <si>
    <t>B8</t>
  </si>
  <si>
    <t>jhu00225</t>
  </si>
  <si>
    <t>026MH_ISO_CONT_2_S30</t>
  </si>
  <si>
    <t>1.2</t>
  </si>
  <si>
    <t>E6</t>
  </si>
  <si>
    <t>jhu00226</t>
  </si>
  <si>
    <t>026MH_ISO_CONT_3_S31</t>
  </si>
  <si>
    <t>2.5</t>
  </si>
  <si>
    <t>G2</t>
  </si>
  <si>
    <t>jhu00227</t>
  </si>
  <si>
    <t>026MH_Lid_L_1_S32</t>
  </si>
  <si>
    <t>10</t>
  </si>
  <si>
    <t>2.3</t>
  </si>
  <si>
    <t>A10</t>
  </si>
  <si>
    <t>jhu00228</t>
  </si>
  <si>
    <t>026MH_Lid_L_2_S33</t>
  </si>
  <si>
    <t>D8</t>
  </si>
  <si>
    <t>jhu00229</t>
  </si>
  <si>
    <t>026MH_Lid_L_3_S34</t>
  </si>
  <si>
    <t>F4</t>
  </si>
  <si>
    <t>jhu00230</t>
  </si>
  <si>
    <t>026MH_Lid_R_1_S35</t>
  </si>
  <si>
    <t>A9</t>
  </si>
  <si>
    <t>jhu00231</t>
  </si>
  <si>
    <t>026MH_Lid_R_2_S36</t>
  </si>
  <si>
    <t>1.4</t>
  </si>
  <si>
    <t>D7</t>
  </si>
  <si>
    <t>jhu00232</t>
  </si>
  <si>
    <t>026MH_Lid_R_3_S37</t>
  </si>
  <si>
    <t>F3</t>
  </si>
  <si>
    <t>jhu00233</t>
  </si>
  <si>
    <t>026MH_PUR_CONT_2_S38</t>
  </si>
  <si>
    <t>E5</t>
  </si>
  <si>
    <t>jhu00234</t>
  </si>
  <si>
    <t>026MH_PUR_CONT_3_S39</t>
  </si>
  <si>
    <t>G1</t>
  </si>
  <si>
    <t>jhu00235</t>
  </si>
  <si>
    <t>026MH_Skin_L_1_S40</t>
  </si>
  <si>
    <t>A12</t>
  </si>
  <si>
    <t>jhu00236</t>
  </si>
  <si>
    <t>026MH_Skin_L_2_S41</t>
  </si>
  <si>
    <t>D10</t>
  </si>
  <si>
    <t>jhu00237</t>
  </si>
  <si>
    <t>026MH_Skin_L_3_S42</t>
  </si>
  <si>
    <t>1.9</t>
  </si>
  <si>
    <t>F6</t>
  </si>
  <si>
    <t>jhu00238</t>
  </si>
  <si>
    <t>026MH_Skin_R_1_S43</t>
  </si>
  <si>
    <t>A11</t>
  </si>
  <si>
    <t>jhu00239</t>
  </si>
  <si>
    <t>026MH_Skin_R_2_S44</t>
  </si>
  <si>
    <t>D9</t>
  </si>
  <si>
    <t>jhu00240</t>
  </si>
  <si>
    <t>026MH_Skin_R_3_S45</t>
  </si>
  <si>
    <t>F5</t>
  </si>
  <si>
    <t>jhu00241</t>
  </si>
  <si>
    <t>0277R_Skin_R_1_S46</t>
  </si>
  <si>
    <t>E3</t>
  </si>
  <si>
    <t>jhu00242</t>
  </si>
  <si>
    <t>0277R_Skin_R_2_S47</t>
  </si>
  <si>
    <t>F11</t>
  </si>
  <si>
    <t>jhu00243</t>
  </si>
  <si>
    <t>027AW_Conj_L_3_S48</t>
  </si>
  <si>
    <t>3.6</t>
  </si>
  <si>
    <t>C5</t>
  </si>
  <si>
    <t>jhu00244</t>
  </si>
  <si>
    <t>027ZR_Conj_L_1_S49</t>
  </si>
  <si>
    <t>D12</t>
  </si>
  <si>
    <t>jhu00245</t>
  </si>
  <si>
    <t>027ZR_Conj_L_2_S50</t>
  </si>
  <si>
    <t>F8</t>
  </si>
  <si>
    <t>jhu00246</t>
  </si>
  <si>
    <t>027ZR_Conj_R_1_S51</t>
  </si>
  <si>
    <t>D11</t>
  </si>
  <si>
    <t>jhu00247</t>
  </si>
  <si>
    <t>027ZR_Conj_R_2_S52</t>
  </si>
  <si>
    <t>F7</t>
  </si>
  <si>
    <t>jhu00248</t>
  </si>
  <si>
    <t>027ZR_Conj_R_3_S53</t>
  </si>
  <si>
    <t>C4</t>
  </si>
  <si>
    <t>jhu00249</t>
  </si>
  <si>
    <t>027ZR_Lid_L_1_S54</t>
  </si>
  <si>
    <t>0.9</t>
  </si>
  <si>
    <t>E2</t>
  </si>
  <si>
    <t>jhu00250</t>
  </si>
  <si>
    <t>027ZR_Lid_L_2_S55</t>
  </si>
  <si>
    <t>F10</t>
  </si>
  <si>
    <t>jhu00251</t>
  </si>
  <si>
    <t>027ZR_Lid_L_3_S56</t>
  </si>
  <si>
    <t>C7</t>
  </si>
  <si>
    <t>jhu00252</t>
  </si>
  <si>
    <t>027ZR_Lid_R_1_S57</t>
  </si>
  <si>
    <t>E1</t>
  </si>
  <si>
    <t>jhu00253</t>
  </si>
  <si>
    <t>027ZR_Lid_R_2_S58</t>
  </si>
  <si>
    <t>F9</t>
  </si>
  <si>
    <t>jhu00254</t>
  </si>
  <si>
    <t>027ZR_Lid_R_3_S59</t>
  </si>
  <si>
    <t>C6</t>
  </si>
  <si>
    <t>jhu00255</t>
  </si>
  <si>
    <t>027ZR_Skin_L_1_S60</t>
  </si>
  <si>
    <t>52</t>
  </si>
  <si>
    <t>E4</t>
  </si>
  <si>
    <t>jhu00256</t>
  </si>
  <si>
    <t>027ZR_Skin_L_2_S61</t>
  </si>
  <si>
    <t>F12</t>
  </si>
  <si>
    <t>jhu00257</t>
  </si>
  <si>
    <t>027ZR_Skin_L_3_S62</t>
  </si>
  <si>
    <t>C9</t>
  </si>
  <si>
    <t>jhu00258</t>
  </si>
  <si>
    <t>027ZR_Skin_R_3_S63</t>
  </si>
  <si>
    <t>3.3</t>
  </si>
  <si>
    <t>C8</t>
  </si>
  <si>
    <t>jhu00259</t>
  </si>
  <si>
    <t>029SH_ISO_CONT_2_S64</t>
  </si>
  <si>
    <t>2024-11-13</t>
  </si>
  <si>
    <t>G12</t>
  </si>
  <si>
    <t>jhu00260</t>
  </si>
  <si>
    <t>030AH_Conj_L_1_S65</t>
  </si>
  <si>
    <t>D1</t>
  </si>
  <si>
    <t>jhu00261</t>
  </si>
  <si>
    <t>030AH_Conj_L_2_S66</t>
  </si>
  <si>
    <t>G4</t>
  </si>
  <si>
    <t>jhu00262</t>
  </si>
  <si>
    <t>030AH_Conj_L_3_S67</t>
  </si>
  <si>
    <t>2024-11-20</t>
  </si>
  <si>
    <t>H2</t>
  </si>
  <si>
    <t>jhu00263</t>
  </si>
  <si>
    <t>030AH_Conj_R_1_S68</t>
  </si>
  <si>
    <t>3.8</t>
  </si>
  <si>
    <t>C12</t>
  </si>
  <si>
    <t>FloQ</t>
  </si>
  <si>
    <t>jhu00264</t>
  </si>
  <si>
    <t>030AH_Conj_R_2_S69</t>
  </si>
  <si>
    <t>G3</t>
  </si>
  <si>
    <t>jhu00265</t>
  </si>
  <si>
    <t>030AH_Conj_R_3_S70</t>
  </si>
  <si>
    <t>H1</t>
  </si>
  <si>
    <t>jhu00266</t>
  </si>
  <si>
    <t>030AH_FLOQ_CONT_1_S71</t>
  </si>
  <si>
    <t>3.1</t>
  </si>
  <si>
    <t>D4</t>
  </si>
  <si>
    <t>jhu00267</t>
  </si>
  <si>
    <t>030AH_Floq_CONT_2_S72</t>
  </si>
  <si>
    <t>G11</t>
  </si>
  <si>
    <t>jhu00268</t>
  </si>
  <si>
    <t>030AH_Floq_CONT_3_S73</t>
  </si>
  <si>
    <t>H9</t>
  </si>
  <si>
    <t>jhu00269</t>
  </si>
  <si>
    <t>030AH_Lid_L_1_S74</t>
  </si>
  <si>
    <t>D2</t>
  </si>
  <si>
    <t>jhu00270</t>
  </si>
  <si>
    <t>030AH_Lid_L_2_S75</t>
  </si>
  <si>
    <t>G5</t>
  </si>
  <si>
    <t>jhu00271</t>
  </si>
  <si>
    <t>030AH_Lid_L_3_S76</t>
  </si>
  <si>
    <t>H3</t>
  </si>
  <si>
    <t>jhu00272</t>
  </si>
  <si>
    <t>030AH_Skin_L_1_S77</t>
  </si>
  <si>
    <t>3.2</t>
  </si>
  <si>
    <t>D3</t>
  </si>
  <si>
    <t>jhu00273</t>
  </si>
  <si>
    <t>030AH_Skin_L_2_S78</t>
  </si>
  <si>
    <t>G6</t>
  </si>
  <si>
    <t>jhu00274</t>
  </si>
  <si>
    <t>030AH_Skin_L_3_S79</t>
  </si>
  <si>
    <t>H4</t>
  </si>
  <si>
    <t>jhu00275</t>
  </si>
  <si>
    <t>032SN_Conj_L_1_S80</t>
  </si>
  <si>
    <t>G8</t>
  </si>
  <si>
    <t>jhu00276</t>
  </si>
  <si>
    <t>032SN_Conj_L_2_S81</t>
  </si>
  <si>
    <t>H6</t>
  </si>
  <si>
    <t>jhu00277</t>
  </si>
  <si>
    <t>032SN_Conj_L_3_S82</t>
  </si>
  <si>
    <t>2024-12-04</t>
  </si>
  <si>
    <t>E8</t>
  </si>
  <si>
    <t>jhu00278</t>
  </si>
  <si>
    <t>032SN_Conj_R_1_S83</t>
  </si>
  <si>
    <t>G7</t>
  </si>
  <si>
    <t>jhu00279</t>
  </si>
  <si>
    <t>032SN_Conj_R_2_S84</t>
  </si>
  <si>
    <t>H5</t>
  </si>
  <si>
    <t>jhu00280</t>
  </si>
  <si>
    <t>032SN_Conj_R_3_S85</t>
  </si>
  <si>
    <t>E7</t>
  </si>
  <si>
    <t>jhu00281</t>
  </si>
  <si>
    <t>032SN_FLOQ_CONT_3_S86</t>
  </si>
  <si>
    <t>E11</t>
  </si>
  <si>
    <t>jhu00282</t>
  </si>
  <si>
    <t>032SN_ISO_CONT_2_S87</t>
  </si>
  <si>
    <t>H10</t>
  </si>
  <si>
    <t>jhu00283</t>
  </si>
  <si>
    <t>032SN_ISO_CONT_3_S88</t>
  </si>
  <si>
    <t>E12</t>
  </si>
  <si>
    <t>jhu00284</t>
  </si>
  <si>
    <t>032SN_Lid_L_1_S89</t>
  </si>
  <si>
    <t>G9</t>
  </si>
  <si>
    <t>jhu00285</t>
  </si>
  <si>
    <t>032SN_Lid_L_2_S90</t>
  </si>
  <si>
    <t>H7</t>
  </si>
  <si>
    <t>jhu00286</t>
  </si>
  <si>
    <t>032SN_Lid_L_3_S91</t>
  </si>
  <si>
    <t>E9</t>
  </si>
  <si>
    <t>jhu00287</t>
  </si>
  <si>
    <t>032SN_Skin_R_1_S92</t>
  </si>
  <si>
    <t>G10</t>
  </si>
  <si>
    <t>jhu00288</t>
  </si>
  <si>
    <t>032SN_Skin_R_2_S93</t>
  </si>
  <si>
    <t>H8</t>
  </si>
  <si>
    <t>jhu00289</t>
  </si>
  <si>
    <t>032SN_Skin_R_3_S94</t>
  </si>
  <si>
    <t>E10</t>
  </si>
  <si>
    <t>jhu00290</t>
  </si>
  <si>
    <t>033MA_BSS_CONT_1_S191</t>
  </si>
  <si>
    <t>S191</t>
  </si>
  <si>
    <t>BSS</t>
  </si>
  <si>
    <t>BSS+ISOHELIX-mini</t>
  </si>
  <si>
    <t>jhu00291</t>
  </si>
  <si>
    <t>033MA_BSS_CONT_3_S192</t>
  </si>
  <si>
    <t>S192</t>
  </si>
  <si>
    <t>jhu00292</t>
  </si>
  <si>
    <t>033MA_Conj_L_1_S193</t>
  </si>
  <si>
    <t>S193</t>
  </si>
  <si>
    <t>jhu00293</t>
  </si>
  <si>
    <t>033MA_Conj_L_2_S194</t>
  </si>
  <si>
    <t>S194</t>
  </si>
  <si>
    <t>jhu00294</t>
  </si>
  <si>
    <t>033MA_Conj_L_3_S195</t>
  </si>
  <si>
    <t>S195</t>
  </si>
  <si>
    <t>jhu00295</t>
  </si>
  <si>
    <t>033MA_Conj_R_1_S196</t>
  </si>
  <si>
    <t>S196</t>
  </si>
  <si>
    <t>jhu00296</t>
  </si>
  <si>
    <t>033MA_Conj_R_2_S197</t>
  </si>
  <si>
    <t>S197</t>
  </si>
  <si>
    <t>jhu00297</t>
  </si>
  <si>
    <t>033MA_Conj_R_3_S198</t>
  </si>
  <si>
    <t>S198</t>
  </si>
  <si>
    <t>jhu00298</t>
  </si>
  <si>
    <t>033MA_Lid_L_1_S199</t>
  </si>
  <si>
    <t>S199</t>
  </si>
  <si>
    <t>jhu00299</t>
  </si>
  <si>
    <t>033MA_Lid_L_2_S200</t>
  </si>
  <si>
    <t>S200</t>
  </si>
  <si>
    <t>jhu00300</t>
  </si>
  <si>
    <t>033MA_Lid_L_3_S201</t>
  </si>
  <si>
    <t>S201</t>
  </si>
  <si>
    <t>jhu00301</t>
  </si>
  <si>
    <t>033MA_Lid_R_1_S202</t>
  </si>
  <si>
    <t>S202</t>
  </si>
  <si>
    <t>jhu00302</t>
  </si>
  <si>
    <t>033MA_Lid_R_2_S203</t>
  </si>
  <si>
    <t>S203</t>
  </si>
  <si>
    <t>jhu00303</t>
  </si>
  <si>
    <t>033MA_Lid_R_3_S204</t>
  </si>
  <si>
    <t>S204</t>
  </si>
  <si>
    <t>jhu00304</t>
  </si>
  <si>
    <t>033MA_Skin_L_1_S205</t>
  </si>
  <si>
    <t>S205</t>
  </si>
  <si>
    <t>jhu00305</t>
  </si>
  <si>
    <t>033MA_Skin_L_2_S206</t>
  </si>
  <si>
    <t>S206</t>
  </si>
  <si>
    <t>jhu00306</t>
  </si>
  <si>
    <t>033MA_Skin_L_3_S207</t>
  </si>
  <si>
    <t>S207</t>
  </si>
  <si>
    <t>jhu00307</t>
  </si>
  <si>
    <t>033MA_Skin_R_1_S208</t>
  </si>
  <si>
    <t>S208</t>
  </si>
  <si>
    <t>jhu00308</t>
  </si>
  <si>
    <t>033MA_Skin_R_2_S209</t>
  </si>
  <si>
    <t>S209</t>
  </si>
  <si>
    <t>jhu00309</t>
  </si>
  <si>
    <t>033MA_Skin_R_3_S210</t>
  </si>
  <si>
    <t>S210</t>
  </si>
  <si>
    <t>jhu00310</t>
  </si>
  <si>
    <t>034AN_BSS_CONT_3a_S211</t>
  </si>
  <si>
    <t>S211</t>
  </si>
  <si>
    <t>2024-12-18</t>
  </si>
  <si>
    <t>jhu00311</t>
  </si>
  <si>
    <t>034AN_BSS_CONT_3b_S212</t>
  </si>
  <si>
    <t>S212</t>
  </si>
  <si>
    <t>jhu00312</t>
  </si>
  <si>
    <t>034AN_BSS_ISO_CONT_1a_S214</t>
  </si>
  <si>
    <t>S214</t>
  </si>
  <si>
    <t>0.8</t>
  </si>
  <si>
    <t>jhu00313</t>
  </si>
  <si>
    <t>034AN_BSS_ISO_CONT_1b_S215</t>
  </si>
  <si>
    <t>S215</t>
  </si>
  <si>
    <t>0.5</t>
  </si>
  <si>
    <t>jhu00314</t>
  </si>
  <si>
    <t>034AN_BSS_ISO_CONT_2_S213</t>
  </si>
  <si>
    <t>S213</t>
  </si>
  <si>
    <t>jhu00315</t>
  </si>
  <si>
    <t>034AN_Conj_L_1_S216</t>
  </si>
  <si>
    <t>S216</t>
  </si>
  <si>
    <t>jhu00316</t>
  </si>
  <si>
    <t>034AN_Conj_L_2_S217</t>
  </si>
  <si>
    <t>S217</t>
  </si>
  <si>
    <t>jhu00317</t>
  </si>
  <si>
    <t>034AN_Conj_L_3_S218</t>
  </si>
  <si>
    <t>S218</t>
  </si>
  <si>
    <t>jhu00318</t>
  </si>
  <si>
    <t>034AN_Conj_R_1_S219</t>
  </si>
  <si>
    <t>S219</t>
  </si>
  <si>
    <t>jhu00319</t>
  </si>
  <si>
    <t>034AN_Conj_R_2_S220</t>
  </si>
  <si>
    <t>S220</t>
  </si>
  <si>
    <t>jhu00320</t>
  </si>
  <si>
    <t>034AN_Conj_R_3_S221</t>
  </si>
  <si>
    <t>S221</t>
  </si>
  <si>
    <t>jhu00321</t>
  </si>
  <si>
    <t>034AN_Lid_L_1_S222</t>
  </si>
  <si>
    <t>S222</t>
  </si>
  <si>
    <t>jhu00322</t>
  </si>
  <si>
    <t>034AN_Lid_L_2_S223</t>
  </si>
  <si>
    <t>S223</t>
  </si>
  <si>
    <t>jhu00323</t>
  </si>
  <si>
    <t>034AN_Lid_L_3_S224</t>
  </si>
  <si>
    <t>S224</t>
  </si>
  <si>
    <t>0.6</t>
  </si>
  <si>
    <t>jhu00324</t>
  </si>
  <si>
    <t>034AN_Lid_R_1_S225</t>
  </si>
  <si>
    <t>S225</t>
  </si>
  <si>
    <t>jhu00325</t>
  </si>
  <si>
    <t>034AN_Lid_R_2_S226</t>
  </si>
  <si>
    <t>S226</t>
  </si>
  <si>
    <t>jhu00326</t>
  </si>
  <si>
    <t>034AN_Lid_R_3_S227</t>
  </si>
  <si>
    <t>S227</t>
  </si>
  <si>
    <t>jhu00327</t>
  </si>
  <si>
    <t>034AN_Skin_L_1_S228</t>
  </si>
  <si>
    <t>S228</t>
  </si>
  <si>
    <t>jhu00328</t>
  </si>
  <si>
    <t>034AN_Skin_L_2_S229</t>
  </si>
  <si>
    <t>S229</t>
  </si>
  <si>
    <t>jhu00329</t>
  </si>
  <si>
    <t>034AN_Skin_L_3_S230</t>
  </si>
  <si>
    <t>S230</t>
  </si>
  <si>
    <t>jhu00330</t>
  </si>
  <si>
    <t>034AN_Skin_R_1_S231</t>
  </si>
  <si>
    <t>S231</t>
  </si>
  <si>
    <t>jhu00331</t>
  </si>
  <si>
    <t>034AN_Skin_R_2_S232</t>
  </si>
  <si>
    <t>S232</t>
  </si>
  <si>
    <t>jhu00332</t>
  </si>
  <si>
    <t>034AN_Skin_R_3_S233</t>
  </si>
  <si>
    <t>S233</t>
  </si>
  <si>
    <t>jhu00333</t>
  </si>
  <si>
    <t>035FS_BSS_ISO_CONT_1_S234</t>
  </si>
  <si>
    <t>S234</t>
  </si>
  <si>
    <t>jhu00334</t>
  </si>
  <si>
    <t>035FS_BSS_ISO_CONT_2_S235</t>
  </si>
  <si>
    <t>S235</t>
  </si>
  <si>
    <t>jhu00335</t>
  </si>
  <si>
    <t>035FS_Conj_L_1_S236</t>
  </si>
  <si>
    <t>S236</t>
  </si>
  <si>
    <t>jhu00336</t>
  </si>
  <si>
    <t>035FS_Conj_L_2_S237</t>
  </si>
  <si>
    <t>S237</t>
  </si>
  <si>
    <t>2.9</t>
  </si>
  <si>
    <t>jhu00337</t>
  </si>
  <si>
    <t>035FS_Conj_L_3_S238</t>
  </si>
  <si>
    <t>S238</t>
  </si>
  <si>
    <t>jhu00338</t>
  </si>
  <si>
    <t>035FS_Conj_R_1_S239</t>
  </si>
  <si>
    <t>S239</t>
  </si>
  <si>
    <t>jhu00339</t>
  </si>
  <si>
    <t>035FS_Conj_R_2_S240</t>
  </si>
  <si>
    <t>S240</t>
  </si>
  <si>
    <t>jhu00340</t>
  </si>
  <si>
    <t>035FS_Conj_R_3_S241</t>
  </si>
  <si>
    <t>S241</t>
  </si>
  <si>
    <t>jhu00341</t>
  </si>
  <si>
    <t>035FS_Lid_L_1_S242</t>
  </si>
  <si>
    <t>S242</t>
  </si>
  <si>
    <t>jhu00342</t>
  </si>
  <si>
    <t>035FS_Lid_L_2_S243</t>
  </si>
  <si>
    <t>S243</t>
  </si>
  <si>
    <t>jhu00343</t>
  </si>
  <si>
    <t>035FS_Lid_L_3_S244</t>
  </si>
  <si>
    <t>S244</t>
  </si>
  <si>
    <t>jhu00344</t>
  </si>
  <si>
    <t>035FS_Lid_R_1_S245</t>
  </si>
  <si>
    <t>S245</t>
  </si>
  <si>
    <t>jhu00345</t>
  </si>
  <si>
    <t>035FS_Lid_R_2_S246</t>
  </si>
  <si>
    <t>S246</t>
  </si>
  <si>
    <t>jhu00346</t>
  </si>
  <si>
    <t>035FS_Lid_R_3_S247</t>
  </si>
  <si>
    <t>S247</t>
  </si>
  <si>
    <t>jhu00347</t>
  </si>
  <si>
    <t>035FS_Skin_L_1_S248</t>
  </si>
  <si>
    <t>S248</t>
  </si>
  <si>
    <t>jhu00348</t>
  </si>
  <si>
    <t>035FS_Skin_L_2_S249</t>
  </si>
  <si>
    <t>S249</t>
  </si>
  <si>
    <t>jhu00349</t>
  </si>
  <si>
    <t>035FS_Skin_L_3_S250</t>
  </si>
  <si>
    <t>S250</t>
  </si>
  <si>
    <t>jhu00350</t>
  </si>
  <si>
    <t>035FS_Skin_R_1_S251</t>
  </si>
  <si>
    <t>S251</t>
  </si>
  <si>
    <t>jhu00351</t>
  </si>
  <si>
    <t>035FS_Skin_R_2_S252</t>
  </si>
  <si>
    <t>S252</t>
  </si>
  <si>
    <t>jhu00352</t>
  </si>
  <si>
    <t>035FS_Skin_R_3_S253</t>
  </si>
  <si>
    <t>S253</t>
  </si>
  <si>
    <t>jhu00353</t>
  </si>
  <si>
    <t>036VK_BSS_ISO_CONT_2_S254</t>
  </si>
  <si>
    <t>S254</t>
  </si>
  <si>
    <t>jhu00354</t>
  </si>
  <si>
    <t>036VK_BSS_ISO_CONT_3_S255</t>
  </si>
  <si>
    <t>S255</t>
  </si>
  <si>
    <t>2025-01-08</t>
  </si>
  <si>
    <t>jhu00355</t>
  </si>
  <si>
    <t>036VK_Conj_L_1_S256</t>
  </si>
  <si>
    <t>S256</t>
  </si>
  <si>
    <t>jhu00356</t>
  </si>
  <si>
    <t>036VK_Conj_L_2_S257</t>
  </si>
  <si>
    <t>S257</t>
  </si>
  <si>
    <t>jhu00357</t>
  </si>
  <si>
    <t>036VK_Conj_L_3_S258</t>
  </si>
  <si>
    <t>S258</t>
  </si>
  <si>
    <t>jhu00358</t>
  </si>
  <si>
    <t>036VK_Conj_R_1_S259</t>
  </si>
  <si>
    <t>S259</t>
  </si>
  <si>
    <t>jhu00359</t>
  </si>
  <si>
    <t>036VK_Conj_R_2_S260</t>
  </si>
  <si>
    <t>S260</t>
  </si>
  <si>
    <t>jhu00360</t>
  </si>
  <si>
    <t>036VK_Conj_R_3_S261</t>
  </si>
  <si>
    <t>S261</t>
  </si>
  <si>
    <t>jhu00361</t>
  </si>
  <si>
    <t>036VK_Lid_L_1_S262</t>
  </si>
  <si>
    <t>S262</t>
  </si>
  <si>
    <t>jhu00362</t>
  </si>
  <si>
    <t>036VK_Lid_L_2_S263</t>
  </si>
  <si>
    <t>S263</t>
  </si>
  <si>
    <t>jhu00363</t>
  </si>
  <si>
    <t>036VK_Lid_L_3_S264</t>
  </si>
  <si>
    <t>S264</t>
  </si>
  <si>
    <t>jhu00364</t>
  </si>
  <si>
    <t>036VK_Lid_R_1_S265</t>
  </si>
  <si>
    <t>S265</t>
  </si>
  <si>
    <t>jhu00365</t>
  </si>
  <si>
    <t>036VK_Lid_R_2_S266</t>
  </si>
  <si>
    <t>S266</t>
  </si>
  <si>
    <t>jhu00366</t>
  </si>
  <si>
    <t>036VK_Lid_R_3_S267</t>
  </si>
  <si>
    <t>S267</t>
  </si>
  <si>
    <t>jhu00367</t>
  </si>
  <si>
    <t>036VK_Skin_L_1_S268</t>
  </si>
  <si>
    <t>S268</t>
  </si>
  <si>
    <t>jhu00368</t>
  </si>
  <si>
    <t>036VK_Skin_L_2_S269</t>
  </si>
  <si>
    <t>S269</t>
  </si>
  <si>
    <t>jhu00369</t>
  </si>
  <si>
    <t>036VK_Skin_L_3_S270</t>
  </si>
  <si>
    <t>S270</t>
  </si>
  <si>
    <t>jhu00370</t>
  </si>
  <si>
    <t>036VK_Skin_R_1_S271</t>
  </si>
  <si>
    <t>S271</t>
  </si>
  <si>
    <t>jhu00371</t>
  </si>
  <si>
    <t>036VK_Skin_R_2_S272</t>
  </si>
  <si>
    <t>S272</t>
  </si>
  <si>
    <t>jhu00372</t>
  </si>
  <si>
    <t>036VK_Skin_R_3_S273</t>
  </si>
  <si>
    <t>S273</t>
  </si>
  <si>
    <t>jhu00373</t>
  </si>
  <si>
    <t>038JM_ANE_CONT_1_S96</t>
  </si>
  <si>
    <t>ANE</t>
  </si>
  <si>
    <t>2.4</t>
  </si>
  <si>
    <t>L007</t>
  </si>
  <si>
    <t>Tetra/ISOHELIX-mini</t>
  </si>
  <si>
    <t>jhu00374</t>
  </si>
  <si>
    <t>038JM_ANE_CONT_2_S97</t>
  </si>
  <si>
    <t>S97</t>
  </si>
  <si>
    <t>2025-01-22</t>
  </si>
  <si>
    <t>jhu00375</t>
  </si>
  <si>
    <t>038JM_ANE_CONT_3_S98</t>
  </si>
  <si>
    <t>S98</t>
  </si>
  <si>
    <t>2025-02-19</t>
  </si>
  <si>
    <t>BI001</t>
  </si>
  <si>
    <t>jhu00376</t>
  </si>
  <si>
    <t>038JM_Conj_L_1_S99</t>
  </si>
  <si>
    <t>S99</t>
  </si>
  <si>
    <t>jhu00377</t>
  </si>
  <si>
    <t>038JM_Conj_L_2_S100</t>
  </si>
  <si>
    <t>S100</t>
  </si>
  <si>
    <t>jhu00378</t>
  </si>
  <si>
    <t>038JM_Conj_L_3_S101</t>
  </si>
  <si>
    <t>S101</t>
  </si>
  <si>
    <t>jhu00379</t>
  </si>
  <si>
    <t>038JM_Conj_R_2_S103</t>
  </si>
  <si>
    <t>S103</t>
  </si>
  <si>
    <t>Tetra+ISOHELIX-mini</t>
  </si>
  <si>
    <t>jhu00380</t>
  </si>
  <si>
    <t>038JM_Conj_R_3_S104</t>
  </si>
  <si>
    <t>S104</t>
  </si>
  <si>
    <t>jhu00381</t>
  </si>
  <si>
    <t>039WB_ANE_CONT_1_S105</t>
  </si>
  <si>
    <t>S105</t>
  </si>
  <si>
    <t>jhu00382</t>
  </si>
  <si>
    <t>039WB_ANE_CONT_2_S106</t>
  </si>
  <si>
    <t>S106</t>
  </si>
  <si>
    <t>jhu00383</t>
  </si>
  <si>
    <t>039WB_ANE_CONT_3_S107</t>
  </si>
  <si>
    <t>S107</t>
  </si>
  <si>
    <t>2025-01-29</t>
  </si>
  <si>
    <t>jhu00384</t>
  </si>
  <si>
    <t>039WB_Conj_L_1_S108</t>
  </si>
  <si>
    <t>S108</t>
  </si>
  <si>
    <t>jhu00385</t>
  </si>
  <si>
    <t>039WB_Conj_L_2_S109</t>
  </si>
  <si>
    <t>S109</t>
  </si>
  <si>
    <t>jhu00386</t>
  </si>
  <si>
    <t>039WB_Conj_L_3_S110</t>
  </si>
  <si>
    <t>S110</t>
  </si>
  <si>
    <t>jhu00387</t>
  </si>
  <si>
    <t>039WB_Conj_R_1_S111</t>
  </si>
  <si>
    <t>S111</t>
  </si>
  <si>
    <t>jhu00388</t>
  </si>
  <si>
    <t>039WB_Conj_R_3_S113</t>
  </si>
  <si>
    <t>S113</t>
  </si>
  <si>
    <t>jhu00389</t>
  </si>
  <si>
    <t>040RR_ANE_CONT_2_S114</t>
  </si>
  <si>
    <t>S114</t>
  </si>
  <si>
    <t>2025-01-15</t>
  </si>
  <si>
    <t>jhu00390</t>
  </si>
  <si>
    <t>040RR_Conj_L_1_S115</t>
  </si>
  <si>
    <t>S115</t>
  </si>
  <si>
    <t>jhu00391</t>
  </si>
  <si>
    <t>040RR_Conj_L_2_S116</t>
  </si>
  <si>
    <t>S116</t>
  </si>
  <si>
    <t>3.4</t>
  </si>
  <si>
    <t>jhu00392</t>
  </si>
  <si>
    <t>040RR_Conj_L_3_S117</t>
  </si>
  <si>
    <t>S117</t>
  </si>
  <si>
    <t>jhu00393</t>
  </si>
  <si>
    <t>040RR_Conj_R_1_S118</t>
  </si>
  <si>
    <t>S118</t>
  </si>
  <si>
    <t>jhu00394</t>
  </si>
  <si>
    <t>040RR_Conj_R_2_S119</t>
  </si>
  <si>
    <t>S119</t>
  </si>
  <si>
    <t>jhu00395</t>
  </si>
  <si>
    <t>040RR_Conj_R_3_S120</t>
  </si>
  <si>
    <t>S120</t>
  </si>
  <si>
    <t>jhu00396</t>
  </si>
  <si>
    <t>041SB_Conj_L_1_S121</t>
  </si>
  <si>
    <t>S121</t>
  </si>
  <si>
    <t>jhu00397</t>
  </si>
  <si>
    <t>041SB_Conj_L_2_S122</t>
  </si>
  <si>
    <t>S122</t>
  </si>
  <si>
    <t>jhu00398</t>
  </si>
  <si>
    <t>041SB_Conj_L_3_S123</t>
  </si>
  <si>
    <t>S123</t>
  </si>
  <si>
    <t>jhu00399</t>
  </si>
  <si>
    <t>041SB_Conj_R_1_S124</t>
  </si>
  <si>
    <t>S124</t>
  </si>
  <si>
    <t>jhu00400</t>
  </si>
  <si>
    <t>041SB_Conj_R_2_S125</t>
  </si>
  <si>
    <t>S125</t>
  </si>
  <si>
    <t>jhu00401</t>
  </si>
  <si>
    <t>041SB_Conj_R_3_S126</t>
  </si>
  <si>
    <t>S126</t>
  </si>
  <si>
    <t>jhu00402</t>
  </si>
  <si>
    <t>043SA_ANE_CONT_1_S127</t>
  </si>
  <si>
    <t>S127</t>
  </si>
  <si>
    <t>jhu00403</t>
  </si>
  <si>
    <t>043SA_ANE_CONT_2_S128</t>
  </si>
  <si>
    <t>S128</t>
  </si>
  <si>
    <t>jhu00404</t>
  </si>
  <si>
    <t>043SA_ANE_CONT_3_S129</t>
  </si>
  <si>
    <t>S129</t>
  </si>
  <si>
    <t>2025-02-05</t>
  </si>
  <si>
    <t>jhu00405</t>
  </si>
  <si>
    <t>043SA_Conj_L_1_S130</t>
  </si>
  <si>
    <t>S130</t>
  </si>
  <si>
    <t>jhu00406</t>
  </si>
  <si>
    <t>043SA_Conj_L_2_S131</t>
  </si>
  <si>
    <t>S131</t>
  </si>
  <si>
    <t>jhu00407</t>
  </si>
  <si>
    <t>043SA_Conj_L_3_S132</t>
  </si>
  <si>
    <t>S132</t>
  </si>
  <si>
    <t>jhu00408</t>
  </si>
  <si>
    <t>043SA_Conj_R_1_S133</t>
  </si>
  <si>
    <t>S133</t>
  </si>
  <si>
    <t>jhu00409</t>
  </si>
  <si>
    <t>043SA_Conj_R_2_S134</t>
  </si>
  <si>
    <t>S134</t>
  </si>
  <si>
    <t>jhu00410</t>
  </si>
  <si>
    <t>043SA_Conj_R_3_S135</t>
  </si>
  <si>
    <t>S135</t>
  </si>
  <si>
    <t>jhu00411</t>
  </si>
  <si>
    <t>043SA_Lid_L_1_S136</t>
  </si>
  <si>
    <t>S136</t>
  </si>
  <si>
    <t>jhu00412</t>
  </si>
  <si>
    <t>043SA_Lid_L_2_S137</t>
  </si>
  <si>
    <t>S137</t>
  </si>
  <si>
    <t>jhu00413</t>
  </si>
  <si>
    <t>043SA_Lid_L_3_S138</t>
  </si>
  <si>
    <t>S138</t>
  </si>
  <si>
    <t>jhu00414</t>
  </si>
  <si>
    <t>043SA_Lid_R_1_S139</t>
  </si>
  <si>
    <t>S139</t>
  </si>
  <si>
    <t>jhu00415</t>
  </si>
  <si>
    <t>043SA_Lid_R_2_S140</t>
  </si>
  <si>
    <t>S140</t>
  </si>
  <si>
    <t>jhu00416</t>
  </si>
  <si>
    <t>043SA_Lid_R_3_S141</t>
  </si>
  <si>
    <t>S141</t>
  </si>
  <si>
    <t>jhu00417</t>
  </si>
  <si>
    <t>043SA_Skin_L_1_S142</t>
  </si>
  <si>
    <t>S142</t>
  </si>
  <si>
    <t>jhu00418</t>
  </si>
  <si>
    <t>043SA_Skin_L_2_S143</t>
  </si>
  <si>
    <t>S143</t>
  </si>
  <si>
    <t>jhu00419</t>
  </si>
  <si>
    <t>043SA_Skin_L_3_S144</t>
  </si>
  <si>
    <t>S144</t>
  </si>
  <si>
    <t>jhu00420</t>
  </si>
  <si>
    <t>043SA_Skin_R_1_S145</t>
  </si>
  <si>
    <t>S145</t>
  </si>
  <si>
    <t>jhu00421</t>
  </si>
  <si>
    <t>043SA_Skin_R_2_S146</t>
  </si>
  <si>
    <t>S146</t>
  </si>
  <si>
    <t>jhu00422</t>
  </si>
  <si>
    <t>043SA_Skin_R_3_S147</t>
  </si>
  <si>
    <t>S147</t>
  </si>
  <si>
    <t>jhu00423</t>
  </si>
  <si>
    <t>044PB_ANE_CONT_1_S148</t>
  </si>
  <si>
    <t>S148</t>
  </si>
  <si>
    <t>4.1</t>
  </si>
  <si>
    <t>jhu00424</t>
  </si>
  <si>
    <t>044PB_ANE_CONT_2_S149</t>
  </si>
  <si>
    <t>S149</t>
  </si>
  <si>
    <t>jhu00425</t>
  </si>
  <si>
    <t>044PB_ANE_CONT_3_S150</t>
  </si>
  <si>
    <t>S150</t>
  </si>
  <si>
    <t>2025-02-26</t>
  </si>
  <si>
    <t>jhu00426</t>
  </si>
  <si>
    <t>044PB_Conj_L_1_S151</t>
  </si>
  <si>
    <t>S151</t>
  </si>
  <si>
    <t>jhu00427</t>
  </si>
  <si>
    <t>044PB_Conj_L_2_S152</t>
  </si>
  <si>
    <t>S152</t>
  </si>
  <si>
    <t>jhu00428</t>
  </si>
  <si>
    <t>044PB_Conj_L_3_S153</t>
  </si>
  <si>
    <t>S153</t>
  </si>
  <si>
    <t>jhu00429</t>
  </si>
  <si>
    <t>044PB_Conj_R_1_S154</t>
  </si>
  <si>
    <t>S154</t>
  </si>
  <si>
    <t>jhu00430</t>
  </si>
  <si>
    <t>044PB_Conj_R_2_S155</t>
  </si>
  <si>
    <t>S155</t>
  </si>
  <si>
    <t>jhu00431</t>
  </si>
  <si>
    <t>044PB_Conj_R_3_S156</t>
  </si>
  <si>
    <t>S156</t>
  </si>
  <si>
    <t>jhu00432</t>
  </si>
  <si>
    <t>044PB_Lid_L_1_S157</t>
  </si>
  <si>
    <t>S157</t>
  </si>
  <si>
    <t>jhu00433</t>
  </si>
  <si>
    <t>044PB_Lid_L_2_S158</t>
  </si>
  <si>
    <t>S158</t>
  </si>
  <si>
    <t>jhu00434</t>
  </si>
  <si>
    <t>044PB_Lid_L_3_S159</t>
  </si>
  <si>
    <t>S159</t>
  </si>
  <si>
    <t>jhu00435</t>
  </si>
  <si>
    <t>044PB_Lid_R_1_S160</t>
  </si>
  <si>
    <t>S160</t>
  </si>
  <si>
    <t>jhu00436</t>
  </si>
  <si>
    <t>044PB_Lid_R_2_S161</t>
  </si>
  <si>
    <t>S161</t>
  </si>
  <si>
    <t>jhu00437</t>
  </si>
  <si>
    <t>044PB_Lid_R_3_S162</t>
  </si>
  <si>
    <t>S162</t>
  </si>
  <si>
    <t>jhu00438</t>
  </si>
  <si>
    <t>044PB_Skin_L_1_S163</t>
  </si>
  <si>
    <t>S163</t>
  </si>
  <si>
    <t>jhu00439</t>
  </si>
  <si>
    <t>044PB_Skin_L_2_S164</t>
  </si>
  <si>
    <t>S164</t>
  </si>
  <si>
    <t>jhu00440</t>
  </si>
  <si>
    <t>044PB_Skin_L_3_S165</t>
  </si>
  <si>
    <t>S165</t>
  </si>
  <si>
    <t>jhu00441</t>
  </si>
  <si>
    <t>044PB_Skin_R_1_S166</t>
  </si>
  <si>
    <t>S166</t>
  </si>
  <si>
    <t>jhu00442</t>
  </si>
  <si>
    <t>044PB_Skin_R_2_S167</t>
  </si>
  <si>
    <t>S167</t>
  </si>
  <si>
    <t>jhu00443</t>
  </si>
  <si>
    <t>044PB_Skin_R_3_S168</t>
  </si>
  <si>
    <t>S168</t>
  </si>
  <si>
    <t>jhu00444</t>
  </si>
  <si>
    <t>045TA_ANE_CONT_1_S169</t>
  </si>
  <si>
    <t>S169</t>
  </si>
  <si>
    <t>jhu00445</t>
  </si>
  <si>
    <t>045TA_ANE_CONT_2_S170</t>
  </si>
  <si>
    <t>S170</t>
  </si>
  <si>
    <t>jhu00446</t>
  </si>
  <si>
    <t>045TA_ANE_CONT_3_S171</t>
  </si>
  <si>
    <t>S171</t>
  </si>
  <si>
    <t>jhu00447</t>
  </si>
  <si>
    <t>045TA_Conj_L_1_S172</t>
  </si>
  <si>
    <t>S172</t>
  </si>
  <si>
    <t>jhu00448</t>
  </si>
  <si>
    <t>045TA_Conj_L_2_S173</t>
  </si>
  <si>
    <t>S173</t>
  </si>
  <si>
    <t>jhu00449</t>
  </si>
  <si>
    <t>045TA_Conj_L_3_S174</t>
  </si>
  <si>
    <t>S174</t>
  </si>
  <si>
    <t>jhu00450</t>
  </si>
  <si>
    <t>045TA_Conj_R_1_S175</t>
  </si>
  <si>
    <t>S175</t>
  </si>
  <si>
    <t>jhu00451</t>
  </si>
  <si>
    <t>045TA_Conj_R_2_S176</t>
  </si>
  <si>
    <t>S176</t>
  </si>
  <si>
    <t>jhu00452</t>
  </si>
  <si>
    <t>045TA_Conj_R_3_S177</t>
  </si>
  <si>
    <t>S177</t>
  </si>
  <si>
    <t>jhu00453</t>
  </si>
  <si>
    <t>045TA_Lid_L_1_S178</t>
  </si>
  <si>
    <t>S178</t>
  </si>
  <si>
    <t>jhu00454</t>
  </si>
  <si>
    <t>045TA_Lid_L_2_S179</t>
  </si>
  <si>
    <t>S179</t>
  </si>
  <si>
    <t>jhu00455</t>
  </si>
  <si>
    <t>045TA_Lid_L_3_S180</t>
  </si>
  <si>
    <t>S180</t>
  </si>
  <si>
    <t>jhu00456</t>
  </si>
  <si>
    <t>045TA_Lid_R_1_S181</t>
  </si>
  <si>
    <t>S181</t>
  </si>
  <si>
    <t>jhu00457</t>
  </si>
  <si>
    <t>045TA_Lid_R_2_S182</t>
  </si>
  <si>
    <t>S182</t>
  </si>
  <si>
    <t>4.8</t>
  </si>
  <si>
    <t>jhu00458</t>
  </si>
  <si>
    <t>045TA_Lid_R_3_S183</t>
  </si>
  <si>
    <t>S183</t>
  </si>
  <si>
    <t>jhu00459</t>
  </si>
  <si>
    <t>045TA_Skin_L_1_S184</t>
  </si>
  <si>
    <t>S184</t>
  </si>
  <si>
    <t>jhu00460</t>
  </si>
  <si>
    <t>045TA_Skin_L_2_S185</t>
  </si>
  <si>
    <t>S185</t>
  </si>
  <si>
    <t>jhu00461</t>
  </si>
  <si>
    <t>045TA_Skin_L_3_S186</t>
  </si>
  <si>
    <t>S186</t>
  </si>
  <si>
    <t>jhu00462</t>
  </si>
  <si>
    <t>045TA_Skin_R_1_S187</t>
  </si>
  <si>
    <t>S187</t>
  </si>
  <si>
    <t>jhu00463</t>
  </si>
  <si>
    <t>045TA_Skin_R_2_S188</t>
  </si>
  <si>
    <t>S188</t>
  </si>
  <si>
    <t>jhu00464</t>
  </si>
  <si>
    <t>045TA_Skin_R_3_S189</t>
  </si>
  <si>
    <t>S189</t>
  </si>
  <si>
    <t>jhu00465</t>
  </si>
  <si>
    <t>MCS_M1_BG001_S274</t>
  </si>
  <si>
    <t>MCS</t>
  </si>
  <si>
    <t>S274</t>
  </si>
  <si>
    <t>H12</t>
  </si>
  <si>
    <t>jhu00466</t>
  </si>
  <si>
    <t>MCS_M6_BG001_S275</t>
  </si>
  <si>
    <t>S275</t>
  </si>
  <si>
    <t>jhu00467</t>
  </si>
  <si>
    <t>OMR_O14_BI001_S95</t>
  </si>
  <si>
    <t>H11</t>
  </si>
  <si>
    <t>BI002</t>
  </si>
  <si>
    <t>jhu00468</t>
  </si>
  <si>
    <t>OMR_O1_BG001_S276</t>
  </si>
  <si>
    <t>S276</t>
  </si>
  <si>
    <t>jhu00469</t>
  </si>
  <si>
    <t>OMR_O6_BG001_S277</t>
  </si>
  <si>
    <t>S277</t>
  </si>
  <si>
    <t>field_name</t>
  </si>
  <si>
    <t>description</t>
  </si>
  <si>
    <t>example</t>
  </si>
  <si>
    <t>notes</t>
  </si>
  <si>
    <t>data_format</t>
  </si>
  <si>
    <t>project_id</t>
  </si>
  <si>
    <t>Short unique project identifier or acronym</t>
  </si>
  <si>
    <t>ocular-microbiome</t>
  </si>
  <si>
    <t>required</t>
  </si>
  <si>
    <t>string</t>
  </si>
  <si>
    <t>project_name</t>
  </si>
  <si>
    <t>Full name of the research project</t>
  </si>
  <si>
    <t>Ocular Microbiome Project</t>
  </si>
  <si>
    <t>project_goal</t>
  </si>
  <si>
    <t>Brief summary of project aim or objective</t>
  </si>
  <si>
    <t>Investigate the microbial composition on the surface of the human eye.</t>
  </si>
  <si>
    <t>project_type</t>
  </si>
  <si>
    <t>Main methodological approach (e.g., metagenomic, genomic,RNA-Seq)</t>
  </si>
  <si>
    <t>Metagenomic</t>
  </si>
  <si>
    <t>project_design</t>
  </si>
  <si>
    <t>Description of project design, experiment type or sampling scheme</t>
  </si>
  <si>
    <t>Cross-sectional observational study of healthy and diseased eyes</t>
  </si>
  <si>
    <t>recommended</t>
  </si>
  <si>
    <t>bioproject_accession</t>
  </si>
  <si>
    <t>NCBI BioProject accession number (if available)</t>
  </si>
  <si>
    <t>PRJNA123456</t>
  </si>
  <si>
    <t>contact_name</t>
  </si>
  <si>
    <t>Project coordinator, PI, or submitter</t>
  </si>
  <si>
    <t>Lisa A. Neuhold</t>
  </si>
  <si>
    <t>contact_email</t>
  </si>
  <si>
    <t>Email address of coordinator/submitter</t>
  </si>
  <si>
    <t>lneuhold@nei.nih.gov</t>
  </si>
  <si>
    <t>library_count</t>
  </si>
  <si>
    <t>Number of libraries</t>
  </si>
  <si>
    <t>numeric</t>
  </si>
  <si>
    <t>center_id</t>
  </si>
  <si>
    <t>Unique code or acronym for the center</t>
  </si>
  <si>
    <t>JHU</t>
  </si>
  <si>
    <t>center_name</t>
  </si>
  <si>
    <t>Full name of the parent center, lab, or institution</t>
  </si>
  <si>
    <t>Johns Hopkins University</t>
  </si>
  <si>
    <t>Name of submitting PI or contact person</t>
  </si>
  <si>
    <t>Laura Ensign</t>
  </si>
  <si>
    <t>Primary contact's email</t>
  </si>
  <si>
    <t>lensign@jhmi.edu</t>
  </si>
  <si>
    <t>Unique identifier for individual/subject</t>
  </si>
  <si>
    <t>OMI00001</t>
  </si>
  <si>
    <t>individual_alias</t>
  </si>
  <si>
    <t>Internal code or label for the individual within a study</t>
  </si>
  <si>
    <t>birth_year</t>
  </si>
  <si>
    <t>Year of birth (YYYY)</t>
  </si>
  <si>
    <t>1990</t>
  </si>
  <si>
    <t>age</t>
  </si>
  <si>
    <t>Age of subject at collection (years)</t>
  </si>
  <si>
    <t>sex</t>
  </si>
  <si>
    <t>Biological sex at birth (M, F, Other, Unknown)</t>
  </si>
  <si>
    <t>M</t>
  </si>
  <si>
    <t>disease_status</t>
  </si>
  <si>
    <t>Health status or diagnosis ("healthy", disease name, diagnosis)</t>
  </si>
  <si>
    <t>longitudinal_sampling</t>
  </si>
  <si>
    <t>Indicate repeated sampling across time points (yes/no)</t>
  </si>
  <si>
    <t>yes</t>
  </si>
  <si>
    <t>treatment</t>
  </si>
  <si>
    <t>Treatment or medication info prior to/in context of sampling</t>
  </si>
  <si>
    <t>none</t>
  </si>
  <si>
    <t>consent_code</t>
  </si>
  <si>
    <t>Study consent or IRB protocol identifier</t>
  </si>
  <si>
    <t>IRB2024-001</t>
  </si>
  <si>
    <t>biosample_id</t>
  </si>
  <si>
    <t>Unique identifier for the sample</t>
  </si>
  <si>
    <t>OMS00001</t>
  </si>
  <si>
    <t>Alternate code or name used at collection site</t>
  </si>
  <si>
    <t>recommended*</t>
  </si>
  <si>
    <t>Unique subject/individual identifier (linked to subject table)</t>
  </si>
  <si>
    <t>OMI000123</t>
  </si>
  <si>
    <t>Unique identifier for associated (collection or extraction) center</t>
  </si>
  <si>
    <t>Number/label of visit or collection event</t>
  </si>
  <si>
    <t>Date of sample collection (ISO 8601)</t>
  </si>
  <si>
    <t>2024-05-07</t>
  </si>
  <si>
    <t>date</t>
  </si>
  <si>
    <t>biosample_type</t>
  </si>
  <si>
    <t>Anatomical or environmental site type</t>
  </si>
  <si>
    <t>Microbial Community Standard,Human Ocular Surface,OMR-110,Air Control</t>
  </si>
  <si>
    <t>required*</t>
  </si>
  <si>
    <t>Anatomical site of origin</t>
  </si>
  <si>
    <t>biosample_material</t>
  </si>
  <si>
    <t>Material type of sample</t>
  </si>
  <si>
    <t>swab, tissue, tear</t>
  </si>
  <si>
    <t>Laterality of sample</t>
  </si>
  <si>
    <t>left right, NA</t>
  </si>
  <si>
    <t>collection_method</t>
  </si>
  <si>
    <t>Method used for sample collection</t>
  </si>
  <si>
    <t>swab, wash, filter paper</t>
  </si>
  <si>
    <t>optional</t>
  </si>
  <si>
    <t>collection_device_id</t>
  </si>
  <si>
    <t>Device identifier or lot number for collection device</t>
  </si>
  <si>
    <t>DEV001-2023</t>
  </si>
  <si>
    <t>Brand/model/type of swab used for sample collection</t>
  </si>
  <si>
    <t>FloQ,Isohelix,Puritan</t>
  </si>
  <si>
    <t>swab_kit_lot</t>
  </si>
  <si>
    <t>Qiagen-12345</t>
  </si>
  <si>
    <t>swab_lot_number</t>
  </si>
  <si>
    <t>Lot number of the swab used</t>
  </si>
  <si>
    <t>A12345</t>
  </si>
  <si>
    <t>storage_duration</t>
  </si>
  <si>
    <t>Time from collection to processing (ISO 8601)</t>
  </si>
  <si>
    <t>PT2H30M</t>
  </si>
  <si>
    <t>storage_temperature</t>
  </si>
  <si>
    <t>Sample storage temperature after collection (with units)</t>
  </si>
  <si>
    <t>-80 °C</t>
  </si>
  <si>
    <t>preservation_method</t>
  </si>
  <si>
    <t>Method or reagent used for preservation</t>
  </si>
  <si>
    <t>RNAlater, ethanol</t>
  </si>
  <si>
    <t>Type of fluid used to stabilize the collected sample</t>
  </si>
  <si>
    <t>optional*</t>
  </si>
  <si>
    <t>Lot number of stabilizing fluid used</t>
  </si>
  <si>
    <t>Indicates if a microbial community standard was used</t>
  </si>
  <si>
    <t>replicate_type</t>
  </si>
  <si>
    <t>Replicate type</t>
  </si>
  <si>
    <t>biological</t>
  </si>
  <si>
    <t>Identifier for plate</t>
  </si>
  <si>
    <t>Plate2</t>
  </si>
  <si>
    <t>Identifier for plate location</t>
  </si>
  <si>
    <t>Indicates if lysozyme treatment was applied during processing</t>
  </si>
  <si>
    <t>bool</t>
  </si>
  <si>
    <t>host_depletion_performed</t>
  </si>
  <si>
    <t>Indicates host depletion step performed</t>
  </si>
  <si>
    <t>yes, no</t>
  </si>
  <si>
    <t>host_depletion_method</t>
  </si>
  <si>
    <t>Specific host depletion method applied</t>
  </si>
  <si>
    <t>MolYsis Basic5, NEBNext</t>
  </si>
  <si>
    <t>Kit(s) used for host depletion</t>
  </si>
  <si>
    <t>NEB, Molzym, HostZero</t>
  </si>
  <si>
    <t>extraction_date</t>
  </si>
  <si>
    <t>Date of DNA/RNA extraction (ISO 8601)</t>
  </si>
  <si>
    <t>2024-05-08</t>
  </si>
  <si>
    <t>Brand/model of DNA extraction kit</t>
  </si>
  <si>
    <t>Qiagen DNeasy Blood_Tissue Kit,Zymo Micro Prep Kit,Qiagen PowerSoil Pro Kits,MasterPure Gram Positive DNA Purification Kit</t>
  </si>
  <si>
    <t>extraction_kit_lot</t>
  </si>
  <si>
    <t>Lot number for DNA extraction kit</t>
  </si>
  <si>
    <t>L20240155</t>
  </si>
  <si>
    <t>extraction_protocol_version</t>
  </si>
  <si>
    <t>Version or code/identifier of extraction protocol</t>
  </si>
  <si>
    <t>v1.2</t>
  </si>
  <si>
    <t>extraction_protocol_modifications</t>
  </si>
  <si>
    <t>Details of any protocol modifications</t>
  </si>
  <si>
    <t>Increased elution volume to 100 µl</t>
  </si>
  <si>
    <t>Total volume or mass collected (with units)</t>
  </si>
  <si>
    <t>200 µl</t>
  </si>
  <si>
    <t>elution_volume</t>
  </si>
  <si>
    <t>Final elution volume (with units)</t>
  </si>
  <si>
    <t>50 µl</t>
  </si>
  <si>
    <t>DNA/RNA concentration (with units)</t>
  </si>
  <si>
    <t>20 ng/µl</t>
  </si>
  <si>
    <t>dna_yield</t>
  </si>
  <si>
    <t>Measured DNA quantity (with units)</t>
  </si>
  <si>
    <t>100 ng</t>
  </si>
  <si>
    <t>dna_qc_metrics</t>
  </si>
  <si>
    <t>DNA quality control metrics</t>
  </si>
  <si>
    <t>260/280 ratio 1.85, Qubit 22 ng/µl</t>
  </si>
  <si>
    <t>biosample_accession</t>
  </si>
  <si>
    <t>External accession IDs (BioSample SRA, ENA)</t>
  </si>
  <si>
    <t>SAMN12345678</t>
  </si>
  <si>
    <t>geo_loc_name</t>
  </si>
  <si>
    <t>Geographic location where the sample was collected</t>
  </si>
  <si>
    <t>USA: Maryland: Baltimore</t>
  </si>
  <si>
    <t>Should include country, state/province, and city if known; standardized names recommended</t>
  </si>
  <si>
    <t>Unique identifier for the sequencing run</t>
  </si>
  <si>
    <t>OMR00001 (jhu00001)</t>
  </si>
  <si>
    <t>sample_accession</t>
  </si>
  <si>
    <t>Public database run accession (e.g., NCBI SRA) if deposited</t>
  </si>
  <si>
    <t>SRR00001</t>
  </si>
  <si>
    <t>library_id</t>
  </si>
  <si>
    <t>Associated experiment identifier, links to experiment table</t>
  </si>
  <si>
    <t>OMX00001</t>
  </si>
  <si>
    <t>Brief title/name for run</t>
  </si>
  <si>
    <t>Ocular_Run01_2024-05-12</t>
  </si>
  <si>
    <t>sample_description</t>
  </si>
  <si>
    <t>Summary or purpose of sequencing run</t>
  </si>
  <si>
    <t>Non-human read run for sample OMS00001</t>
  </si>
  <si>
    <t>avg_spot_length</t>
  </si>
  <si>
    <t>Average read length (specify units)</t>
  </si>
  <si>
    <t>150 bp</t>
  </si>
  <si>
    <t>adapter_sequences</t>
  </si>
  <si>
    <t>Adapter sequences used</t>
  </si>
  <si>
    <t>AGATCGGAAGAGC</t>
  </si>
  <si>
    <t>original_file_id</t>
  </si>
  <si>
    <t>Original input raw read file name or ID</t>
  </si>
  <si>
    <t>OMS00001_R1.fastq</t>
  </si>
  <si>
    <t>Total number of read pairs in the original file</t>
  </si>
  <si>
    <t>45000000</t>
  </si>
  <si>
    <t>total_bases</t>
  </si>
  <si>
    <t>Total number of bases pairs in the original file</t>
  </si>
  <si>
    <t>4500000000</t>
  </si>
  <si>
    <t>unmapped_reads</t>
  </si>
  <si>
    <t>Total number of reads not aligned to the reference(s)</t>
  </si>
  <si>
    <t>original_read_file_size</t>
  </si>
  <si>
    <t>File size of original read file (with units, e.g., MB, GB)</t>
  </si>
  <si>
    <t>10 GB</t>
  </si>
  <si>
    <t>original_read_file_checksum</t>
  </si>
  <si>
    <t>Checksum (e.g., MD5/SHA256) for original read file</t>
  </si>
  <si>
    <t>d41d8cd98f00b204e9800998ecf8427e</t>
  </si>
  <si>
    <t>non_human_read_file_id</t>
  </si>
  <si>
    <t>Processed/non-human read file name or ID</t>
  </si>
  <si>
    <t>OMS00001_R1_nonhuman.fastq</t>
  </si>
  <si>
    <t>Number of non-human read pairs</t>
  </si>
  <si>
    <t>4500000</t>
  </si>
  <si>
    <t>non_human_read_file_size</t>
  </si>
  <si>
    <t>File size of non-human read file (with units)</t>
  </si>
  <si>
    <t>1 GB</t>
  </si>
  <si>
    <t>non_human_read_file_checksum</t>
  </si>
  <si>
    <t>Checksum for non-human read file</t>
  </si>
  <si>
    <t>e339a515c5ed4f561237b1799335c30b</t>
  </si>
  <si>
    <t>analysis_date</t>
  </si>
  <si>
    <t>Date the sample was analyzed (YYYY-MM-DD, ISO 8601)</t>
  </si>
  <si>
    <t>2024-05-12</t>
  </si>
  <si>
    <t>reference_genome</t>
  </si>
  <si>
    <t>Reference genome version(s) used for human read detection</t>
  </si>
  <si>
    <t>hs38DH, chm13v2.0</t>
  </si>
  <si>
    <t>microbial_database</t>
  </si>
  <si>
    <t>Microbial database(s) used for classification</t>
  </si>
  <si>
    <t>krakendb-2020-08-16-all_pluseupath</t>
  </si>
  <si>
    <t>human_read_detection_software</t>
  </si>
  <si>
    <t>Software (name &amp; version) for human read detection</t>
  </si>
  <si>
    <t>minimap2 2.30-r1287</t>
  </si>
  <si>
    <t>non_human_read_classification_software</t>
  </si>
  <si>
    <t>Software (name &amp; version) for non-human read detection/classification</t>
  </si>
  <si>
    <t>KrakenUniq 1.0.2</t>
  </si>
  <si>
    <t>base_quality_metrics</t>
  </si>
  <si>
    <t>Sequencing base quality metrics</t>
  </si>
  <si>
    <t>90% Q30, Q20</t>
  </si>
  <si>
    <t>data_processing_pipeline</t>
  </si>
  <si>
    <t>URL or name of data processing pipeline (with version/date)</t>
  </si>
  <si>
    <t>https://github.com/dpuiu/ocular-metagenome 20240608</t>
  </si>
  <si>
    <t>sequencing_control</t>
  </si>
  <si>
    <t>Sequencing run control(s) used (e.g., spike-ins)</t>
  </si>
  <si>
    <t>PhiX spike-in 1%</t>
  </si>
  <si>
    <t>release_status</t>
  </si>
  <si>
    <t>Data release status</t>
  </si>
  <si>
    <t>public</t>
  </si>
  <si>
    <t>release_date</t>
  </si>
  <si>
    <t>Date of public/controlled release (YYYY-MM-DD, ISO 8601)</t>
  </si>
  <si>
    <t>2024-06-30</t>
  </si>
  <si>
    <t>The (Illumina) instrument lane</t>
  </si>
  <si>
    <t>L001</t>
  </si>
  <si>
    <t>Unique experiment identifier</t>
  </si>
  <si>
    <t>library_title</t>
  </si>
  <si>
    <t>Title or brief name of experiment</t>
  </si>
  <si>
    <t>Ocular Microbiome RNA-Seq Batch 1</t>
  </si>
  <si>
    <t>library_description</t>
  </si>
  <si>
    <t>Short summary of experiment purpose/design</t>
  </si>
  <si>
    <t>RNA-seq to profile eye surface samples</t>
  </si>
  <si>
    <t>Related sample ID</t>
  </si>
  <si>
    <t>library_name</t>
  </si>
  <si>
    <t>Name/identifier of the prepared sequencing library</t>
  </si>
  <si>
    <t>LIB001-A</t>
  </si>
  <si>
    <t>library_strategy</t>
  </si>
  <si>
    <t>Sequencing strategy (controlled vocabulary)</t>
  </si>
  <si>
    <t>rna-seq</t>
  </si>
  <si>
    <t>library_source</t>
  </si>
  <si>
    <t>Source material for library</t>
  </si>
  <si>
    <t>mRNA</t>
  </si>
  <si>
    <t>library_selection</t>
  </si>
  <si>
    <t>Method of nucleic acid selection/enrichment</t>
  </si>
  <si>
    <t>polyA selection</t>
  </si>
  <si>
    <t>library_layout</t>
  </si>
  <si>
    <t>Read layout (single/paired-end)</t>
  </si>
  <si>
    <t>paired-end</t>
  </si>
  <si>
    <t>library_prep_kit</t>
  </si>
  <si>
    <t>Kit used to prepare sequencing library</t>
  </si>
  <si>
    <t>NEBNext Ultra II RNA</t>
  </si>
  <si>
    <t>library_prep_kit_lot</t>
  </si>
  <si>
    <t>Lot number of library prep kit</t>
  </si>
  <si>
    <t>RN2023-02354</t>
  </si>
  <si>
    <t>library_prep_protocol_version</t>
  </si>
  <si>
    <t>Version or code for the library prep protocol</t>
  </si>
  <si>
    <t>v2.0</t>
  </si>
  <si>
    <t>library_prep_date</t>
  </si>
  <si>
    <t>Date of library preparation (ISO 8601)</t>
  </si>
  <si>
    <t>2024-05-09</t>
  </si>
  <si>
    <t>index_barcodes</t>
  </si>
  <si>
    <t>Index/barcodes used for multiplexing, comma-separated</t>
  </si>
  <si>
    <t>CGATCAGG,ACTGTGTA</t>
  </si>
  <si>
    <t>sequencing_platform</t>
  </si>
  <si>
    <t>Sequencing platform manufacturer/model</t>
  </si>
  <si>
    <t>illumina</t>
  </si>
  <si>
    <t>sequencer_model</t>
  </si>
  <si>
    <t>Sequencer instrument model</t>
  </si>
  <si>
    <t>novaseq</t>
  </si>
  <si>
    <t>Date sequencing run performed (ISO 8601)</t>
  </si>
  <si>
    <t>sample_count</t>
  </si>
  <si>
    <t>Number of samples in the library</t>
  </si>
  <si>
    <t>design_description</t>
  </si>
  <si>
    <t>Additional details or rationale for experiment design</t>
  </si>
  <si>
    <t>Comparative RNA-Seq of left/right eye samples over 3 timepoints</t>
  </si>
  <si>
    <t>taxonomy_name</t>
  </si>
  <si>
    <t>The scientific classification name of an organism</t>
  </si>
  <si>
    <t>Cutibacterium acnes</t>
  </si>
  <si>
    <t>abbreviation</t>
  </si>
  <si>
    <t>The shortened form or taxonomy_name</t>
  </si>
  <si>
    <t>C. acnes</t>
  </si>
  <si>
    <t>taxonomy_id</t>
  </si>
  <si>
    <t>A unique identifier that corresponds to a specific taxonomic classification within NCBI</t>
  </si>
  <si>
    <t>1747</t>
  </si>
  <si>
    <t>taxonomy_lvl</t>
  </si>
  <si>
    <t>The rank or level of classification within the taxonomic hierarchy, such as kingdom, phylum, or species.</t>
  </si>
  <si>
    <t>S (species)</t>
  </si>
  <si>
    <t>assigned_read</t>
  </si>
  <si>
    <t>The number of sequencing reads assigned unambiguously to this specific taxonomic group by the non_human_read_classification_software</t>
  </si>
  <si>
    <t>10000</t>
  </si>
  <si>
    <t>added_reads</t>
  </si>
  <si>
    <t>The number of additional reads assigned to this specific taxonomic group</t>
  </si>
  <si>
    <t>1000</t>
  </si>
  <si>
    <t>microbial_reads</t>
  </si>
  <si>
    <t>assigned_reads+added_reads assigned to this specific taxonomic group</t>
  </si>
  <si>
    <t>11000</t>
  </si>
  <si>
    <t>total_microbial_read</t>
  </si>
  <si>
    <t>sum of total_microbial_read for all species in this sample</t>
  </si>
  <si>
    <t>10000000</t>
  </si>
  <si>
    <t>fraction_microbial_reads</t>
  </si>
  <si>
    <t>(assigned_reads+added_reads)/total_microbial_reads</t>
  </si>
  <si>
    <t>0.1</t>
  </si>
  <si>
    <t>avg_fraction_microbial_reads</t>
  </si>
  <si>
    <t>average fraction_microbial_reads assigned to this specific taxonomic group for multiple samples</t>
  </si>
  <si>
    <t>0.15</t>
  </si>
  <si>
    <t>seq_batch_plate_location</t>
  </si>
  <si>
    <t>swab_lot</t>
  </si>
  <si>
    <t>collection_medium_tube</t>
  </si>
  <si>
    <r>
      <rPr>
        <b/>
        <sz val="11"/>
        <color rgb="FFFF0000"/>
        <rFont val="Calibri"/>
        <family val="2"/>
      </rPr>
      <t>seq_</t>
    </r>
    <r>
      <rPr>
        <b/>
        <sz val="11"/>
        <color theme="1"/>
        <rFont val="Calibri"/>
        <family val="2"/>
        <charset val="1"/>
      </rPr>
      <t>plate_location</t>
    </r>
  </si>
  <si>
    <r>
      <rPr>
        <b/>
        <sz val="11"/>
        <color rgb="FFFF0000"/>
        <rFont val="Calibri"/>
        <family val="2"/>
      </rPr>
      <t>seq_</t>
    </r>
    <r>
      <rPr>
        <b/>
        <sz val="11"/>
        <color theme="1"/>
        <rFont val="Calibri"/>
        <family val="2"/>
        <charset val="1"/>
      </rPr>
      <t>plate_number</t>
    </r>
  </si>
  <si>
    <r>
      <rPr>
        <b/>
        <sz val="11"/>
        <color rgb="FFFF0000"/>
        <rFont val="Calibri"/>
        <family val="2"/>
      </rPr>
      <t>added_</t>
    </r>
    <r>
      <rPr>
        <b/>
        <sz val="11"/>
        <color theme="1"/>
        <rFont val="Calibri"/>
        <family val="2"/>
        <charset val="1"/>
      </rPr>
      <t>medium</t>
    </r>
  </si>
  <si>
    <r>
      <rPr>
        <b/>
        <sz val="11"/>
        <color rgb="FFFF0000"/>
        <rFont val="Calibri"/>
        <family val="2"/>
      </rPr>
      <t>seq_</t>
    </r>
    <r>
      <rPr>
        <sz val="11"/>
        <color theme="1"/>
        <rFont val="Calibri"/>
        <family val="2"/>
        <charset val="1"/>
      </rPr>
      <t>plate_location</t>
    </r>
  </si>
  <si>
    <r>
      <rPr>
        <b/>
        <sz val="11"/>
        <color rgb="FFFF0000"/>
        <rFont val="Calibri"/>
        <family val="2"/>
      </rPr>
      <t>seq_</t>
    </r>
    <r>
      <rPr>
        <sz val="11"/>
        <color theme="1"/>
        <rFont val="Calibri"/>
        <family val="2"/>
        <charset val="1"/>
      </rPr>
      <t>plate_number</t>
    </r>
  </si>
  <si>
    <t>Manufacturer and lot for extraction kit</t>
  </si>
  <si>
    <t>Self-identified ethnicity</t>
  </si>
  <si>
    <t>Hispanic</t>
  </si>
  <si>
    <r>
      <t>biosample_</t>
    </r>
    <r>
      <rPr>
        <b/>
        <sz val="11"/>
        <color rgb="FFFF0000"/>
        <rFont val="Calibri"/>
        <family val="2"/>
      </rPr>
      <t>type</t>
    </r>
  </si>
  <si>
    <t>Human Ocular Surface</t>
  </si>
  <si>
    <t>Air control</t>
  </si>
  <si>
    <t>OMR-110</t>
  </si>
  <si>
    <r>
      <t xml:space="preserve">host_depletion </t>
    </r>
    <r>
      <rPr>
        <b/>
        <sz val="11"/>
        <color rgb="FFFF0000"/>
        <rFont val="Calibri"/>
        <family val="2"/>
      </rPr>
      <t>(y=1,n=0</t>
    </r>
    <r>
      <rPr>
        <b/>
        <sz val="11"/>
        <color theme="1"/>
        <rFont val="Calibri"/>
        <family val="2"/>
        <charset val="1"/>
      </rPr>
      <t>)</t>
    </r>
  </si>
  <si>
    <t>added_medium_lot</t>
  </si>
  <si>
    <t>BSS or ANE lot number</t>
  </si>
  <si>
    <t>extra_medium</t>
  </si>
  <si>
    <t>extra mediums used during sample collection</t>
  </si>
  <si>
    <t>extra_medium_lot</t>
  </si>
  <si>
    <r>
      <rPr>
        <sz val="11"/>
        <color rgb="FFFF0000"/>
        <rFont val="Calibri"/>
        <family val="2"/>
      </rPr>
      <t xml:space="preserve">Anesthetic, </t>
    </r>
    <r>
      <rPr>
        <sz val="11"/>
        <color theme="1"/>
        <rFont val="Calibri"/>
        <family val="2"/>
        <charset val="1"/>
      </rPr>
      <t>BSS(Balanced Salt Solution)</t>
    </r>
  </si>
  <si>
    <t>collection_kit_lot</t>
  </si>
  <si>
    <t>rna_yield</t>
  </si>
  <si>
    <t>Measured RNA quantity (with units)</t>
  </si>
  <si>
    <t>Periocular skin,Lid margin,Conj</t>
  </si>
  <si>
    <t>Lid margin</t>
  </si>
  <si>
    <t>Periocular skin</t>
  </si>
  <si>
    <t>left</t>
  </si>
  <si>
    <t>n/a</t>
  </si>
  <si>
    <t>Microbial Community Standard</t>
  </si>
  <si>
    <t>race</t>
  </si>
  <si>
    <t>ethnicity-</t>
  </si>
  <si>
    <t>white,african american, native indian,asian,other</t>
  </si>
  <si>
    <r>
      <t xml:space="preserve">healthy, </t>
    </r>
    <r>
      <rPr>
        <sz val="11"/>
        <color rgb="FFFF0000"/>
        <rFont val="Calibri"/>
        <family val="2"/>
      </rPr>
      <t xml:space="preserve">dry eye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</si>
</sst>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0" fontId="1" fillId="0" borderId="0" xfId="0" applyFont="1"/>
    <xf numFmtId="0" fontId="2" fillId="0" borderId="0" xfId="1" applyBorder="1" applyProtection="1"/>
    <xf numFmtId="0" fontId="3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puiu/ocular-metagenome&#160;20240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0"/>
  <sheetViews>
    <sheetView topLeftCell="B44" zoomScaleNormal="100" workbookViewId="0">
      <selection activeCell="I52" sqref="I52:I68"/>
    </sheetView>
  </sheetViews>
  <sheetFormatPr baseColWidth="10" defaultColWidth="19.5" defaultRowHeight="15" x14ac:dyDescent="0.2"/>
  <cols>
    <col min="1" max="1" width="14.33203125" customWidth="1"/>
    <col min="2" max="2" width="41.5" customWidth="1"/>
    <col min="3" max="3" width="13.83203125" customWidth="1"/>
    <col min="8" max="8" width="27.83203125" customWidth="1"/>
    <col min="9" max="9" width="19.5" style="3"/>
    <col min="12" max="12" width="21.83203125" customWidth="1"/>
  </cols>
  <sheetData>
    <row r="1" spans="1:3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20</v>
      </c>
      <c r="H1" s="1" t="s">
        <v>2066</v>
      </c>
      <c r="I1" s="8" t="s">
        <v>6</v>
      </c>
      <c r="J1" s="1" t="s">
        <v>9</v>
      </c>
      <c r="K1" s="1" t="s">
        <v>8</v>
      </c>
      <c r="L1" s="5" t="s">
        <v>2057</v>
      </c>
      <c r="M1" s="1" t="s">
        <v>19</v>
      </c>
      <c r="N1" s="6" t="s">
        <v>2060</v>
      </c>
      <c r="O1" s="5" t="s">
        <v>2071</v>
      </c>
      <c r="P1" s="1" t="s">
        <v>18</v>
      </c>
      <c r="Q1" s="1" t="s">
        <v>2056</v>
      </c>
      <c r="R1" s="1" t="s">
        <v>7</v>
      </c>
      <c r="S1" s="1" t="s">
        <v>13</v>
      </c>
      <c r="T1" s="1" t="s">
        <v>16</v>
      </c>
      <c r="U1" s="1" t="s">
        <v>2070</v>
      </c>
      <c r="V1" s="1" t="s">
        <v>11</v>
      </c>
      <c r="W1" s="1" t="s">
        <v>15</v>
      </c>
      <c r="X1" s="1" t="s">
        <v>5</v>
      </c>
      <c r="Y1" s="6" t="s">
        <v>2059</v>
      </c>
      <c r="Z1" s="1" t="s">
        <v>2055</v>
      </c>
      <c r="AA1" s="6" t="s">
        <v>2058</v>
      </c>
      <c r="AB1" s="1" t="s">
        <v>17</v>
      </c>
      <c r="AC1" s="1" t="s">
        <v>12</v>
      </c>
      <c r="AD1" s="1" t="s">
        <v>14</v>
      </c>
    </row>
    <row r="2" spans="1:30" x14ac:dyDescent="0.2">
      <c r="A2" t="s">
        <v>21</v>
      </c>
      <c r="B2" t="s">
        <v>22</v>
      </c>
      <c r="C2">
        <v>48265834</v>
      </c>
      <c r="D2">
        <v>10005673</v>
      </c>
      <c r="E2">
        <v>44470</v>
      </c>
      <c r="H2" t="s">
        <v>24</v>
      </c>
      <c r="I2" s="3" t="s">
        <v>2084</v>
      </c>
      <c r="J2" s="3" t="s">
        <v>2084</v>
      </c>
      <c r="K2" t="s">
        <v>27</v>
      </c>
      <c r="R2" t="s">
        <v>25</v>
      </c>
      <c r="S2" t="b">
        <f>FALSE()</f>
        <v>0</v>
      </c>
      <c r="T2" t="s">
        <v>30</v>
      </c>
      <c r="W2" t="s">
        <v>29</v>
      </c>
      <c r="X2" t="s">
        <v>23</v>
      </c>
      <c r="Z2" t="s">
        <v>26</v>
      </c>
      <c r="AD2" t="s">
        <v>28</v>
      </c>
    </row>
    <row r="3" spans="1:30" x14ac:dyDescent="0.2">
      <c r="A3" t="s">
        <v>31</v>
      </c>
      <c r="B3" t="s">
        <v>32</v>
      </c>
      <c r="C3">
        <v>72009445</v>
      </c>
      <c r="D3">
        <v>69784135</v>
      </c>
      <c r="E3">
        <v>5626</v>
      </c>
      <c r="H3" s="3" t="s">
        <v>2085</v>
      </c>
      <c r="J3" s="3" t="s">
        <v>2084</v>
      </c>
      <c r="K3" t="s">
        <v>34</v>
      </c>
      <c r="R3" t="s">
        <v>25</v>
      </c>
      <c r="S3" t="b">
        <f>FALSE()</f>
        <v>0</v>
      </c>
      <c r="T3" t="s">
        <v>30</v>
      </c>
      <c r="W3" t="s">
        <v>36</v>
      </c>
      <c r="X3" t="s">
        <v>23</v>
      </c>
      <c r="Z3" t="s">
        <v>33</v>
      </c>
      <c r="AD3" t="s">
        <v>35</v>
      </c>
    </row>
    <row r="4" spans="1:30" x14ac:dyDescent="0.2">
      <c r="A4" t="s">
        <v>37</v>
      </c>
      <c r="B4" t="s">
        <v>38</v>
      </c>
      <c r="C4">
        <v>52434861</v>
      </c>
      <c r="D4">
        <v>5413108</v>
      </c>
      <c r="E4">
        <v>37930</v>
      </c>
      <c r="H4" t="s">
        <v>24</v>
      </c>
      <c r="J4" s="3" t="s">
        <v>2084</v>
      </c>
      <c r="K4" t="s">
        <v>41</v>
      </c>
      <c r="R4" t="s">
        <v>39</v>
      </c>
      <c r="S4" t="b">
        <f>FALSE()</f>
        <v>0</v>
      </c>
      <c r="T4" t="s">
        <v>30</v>
      </c>
      <c r="W4" t="s">
        <v>42</v>
      </c>
      <c r="X4" t="s">
        <v>23</v>
      </c>
      <c r="Z4" t="s">
        <v>40</v>
      </c>
      <c r="AD4" t="s">
        <v>28</v>
      </c>
    </row>
    <row r="5" spans="1:30" x14ac:dyDescent="0.2">
      <c r="A5" t="s">
        <v>43</v>
      </c>
      <c r="B5" t="s">
        <v>44</v>
      </c>
      <c r="C5">
        <v>98376897</v>
      </c>
      <c r="D5">
        <v>97247641</v>
      </c>
      <c r="E5">
        <v>331</v>
      </c>
      <c r="H5" s="3" t="s">
        <v>2085</v>
      </c>
      <c r="J5" s="3" t="s">
        <v>2084</v>
      </c>
      <c r="K5" t="s">
        <v>46</v>
      </c>
      <c r="R5" t="s">
        <v>39</v>
      </c>
      <c r="S5" t="b">
        <f>FALSE()</f>
        <v>0</v>
      </c>
      <c r="T5" t="s">
        <v>30</v>
      </c>
      <c r="W5" t="s">
        <v>47</v>
      </c>
      <c r="X5" t="s">
        <v>23</v>
      </c>
      <c r="Z5" t="s">
        <v>45</v>
      </c>
      <c r="AD5" t="s">
        <v>35</v>
      </c>
    </row>
    <row r="6" spans="1:30" x14ac:dyDescent="0.2">
      <c r="A6" t="s">
        <v>48</v>
      </c>
      <c r="B6" t="s">
        <v>49</v>
      </c>
      <c r="C6">
        <v>717757</v>
      </c>
      <c r="D6">
        <v>4579</v>
      </c>
      <c r="E6">
        <v>120</v>
      </c>
      <c r="H6" t="s">
        <v>24</v>
      </c>
      <c r="J6" s="3" t="s">
        <v>2084</v>
      </c>
      <c r="K6" t="s">
        <v>52</v>
      </c>
      <c r="R6" t="s">
        <v>50</v>
      </c>
      <c r="S6" t="b">
        <f>FALSE()</f>
        <v>0</v>
      </c>
      <c r="T6" t="s">
        <v>55</v>
      </c>
      <c r="W6" t="s">
        <v>54</v>
      </c>
      <c r="X6" t="s">
        <v>23</v>
      </c>
      <c r="Z6" t="s">
        <v>51</v>
      </c>
      <c r="AB6" t="s">
        <v>53</v>
      </c>
      <c r="AD6" t="s">
        <v>28</v>
      </c>
    </row>
    <row r="7" spans="1:30" x14ac:dyDescent="0.2">
      <c r="A7" t="s">
        <v>56</v>
      </c>
      <c r="B7" t="s">
        <v>57</v>
      </c>
      <c r="C7">
        <v>18930999</v>
      </c>
      <c r="D7">
        <v>17666737</v>
      </c>
      <c r="E7">
        <v>770</v>
      </c>
      <c r="H7" s="3" t="s">
        <v>2085</v>
      </c>
      <c r="J7" s="3" t="s">
        <v>2084</v>
      </c>
      <c r="K7" t="s">
        <v>59</v>
      </c>
      <c r="R7" t="s">
        <v>50</v>
      </c>
      <c r="S7" t="b">
        <f>FALSE()</f>
        <v>0</v>
      </c>
      <c r="T7" t="s">
        <v>55</v>
      </c>
      <c r="W7" t="s">
        <v>60</v>
      </c>
      <c r="X7" t="s">
        <v>23</v>
      </c>
      <c r="Z7" t="s">
        <v>58</v>
      </c>
      <c r="AB7" t="s">
        <v>53</v>
      </c>
      <c r="AD7" t="s">
        <v>35</v>
      </c>
    </row>
    <row r="8" spans="1:30" x14ac:dyDescent="0.2">
      <c r="A8" t="s">
        <v>61</v>
      </c>
      <c r="B8" t="s">
        <v>62</v>
      </c>
      <c r="C8">
        <v>60308293</v>
      </c>
      <c r="D8">
        <v>27799952</v>
      </c>
      <c r="E8">
        <v>22411</v>
      </c>
      <c r="H8" t="s">
        <v>24</v>
      </c>
      <c r="J8" s="3" t="s">
        <v>2084</v>
      </c>
      <c r="K8" t="s">
        <v>65</v>
      </c>
      <c r="R8" t="s">
        <v>63</v>
      </c>
      <c r="S8" t="b">
        <f>FALSE()</f>
        <v>0</v>
      </c>
      <c r="T8" t="s">
        <v>30</v>
      </c>
      <c r="W8" t="s">
        <v>66</v>
      </c>
      <c r="X8" t="s">
        <v>23</v>
      </c>
      <c r="Z8" t="s">
        <v>64</v>
      </c>
      <c r="AD8" t="s">
        <v>28</v>
      </c>
    </row>
    <row r="9" spans="1:30" x14ac:dyDescent="0.2">
      <c r="A9" t="s">
        <v>67</v>
      </c>
      <c r="B9" t="s">
        <v>68</v>
      </c>
      <c r="C9">
        <v>54899862</v>
      </c>
      <c r="D9">
        <v>36370013</v>
      </c>
      <c r="E9">
        <v>12377</v>
      </c>
      <c r="H9" s="3" t="s">
        <v>2085</v>
      </c>
      <c r="J9" s="3" t="s">
        <v>2084</v>
      </c>
      <c r="K9" t="s">
        <v>70</v>
      </c>
      <c r="R9" t="s">
        <v>63</v>
      </c>
      <c r="S9" t="b">
        <f>FALSE()</f>
        <v>0</v>
      </c>
      <c r="T9" t="s">
        <v>30</v>
      </c>
      <c r="W9" t="s">
        <v>71</v>
      </c>
      <c r="X9" t="s">
        <v>23</v>
      </c>
      <c r="Z9" t="s">
        <v>69</v>
      </c>
      <c r="AD9" t="s">
        <v>35</v>
      </c>
    </row>
    <row r="10" spans="1:30" x14ac:dyDescent="0.2">
      <c r="A10" t="s">
        <v>72</v>
      </c>
      <c r="B10" t="s">
        <v>73</v>
      </c>
      <c r="C10">
        <v>59730283</v>
      </c>
      <c r="D10">
        <v>57956237</v>
      </c>
      <c r="E10">
        <v>6701</v>
      </c>
      <c r="H10" t="s">
        <v>24</v>
      </c>
      <c r="J10" s="3" t="s">
        <v>2084</v>
      </c>
      <c r="K10" t="s">
        <v>76</v>
      </c>
      <c r="R10" t="s">
        <v>74</v>
      </c>
      <c r="S10" t="b">
        <f>FALSE()</f>
        <v>0</v>
      </c>
      <c r="T10" t="s">
        <v>30</v>
      </c>
      <c r="W10" t="s">
        <v>77</v>
      </c>
      <c r="X10" t="s">
        <v>23</v>
      </c>
      <c r="Z10" t="s">
        <v>75</v>
      </c>
      <c r="AD10" t="s">
        <v>28</v>
      </c>
    </row>
    <row r="11" spans="1:30" x14ac:dyDescent="0.2">
      <c r="A11" t="s">
        <v>78</v>
      </c>
      <c r="B11" t="s">
        <v>79</v>
      </c>
      <c r="C11">
        <v>55883346</v>
      </c>
      <c r="D11">
        <v>54189462</v>
      </c>
      <c r="E11">
        <v>4554</v>
      </c>
      <c r="H11" s="3" t="s">
        <v>2085</v>
      </c>
      <c r="J11" s="3" t="s">
        <v>2084</v>
      </c>
      <c r="K11" t="s">
        <v>81</v>
      </c>
      <c r="R11" t="s">
        <v>74</v>
      </c>
      <c r="S11" t="b">
        <f>FALSE()</f>
        <v>0</v>
      </c>
      <c r="T11" t="s">
        <v>30</v>
      </c>
      <c r="W11" t="s">
        <v>82</v>
      </c>
      <c r="X11" t="s">
        <v>23</v>
      </c>
      <c r="Z11" t="s">
        <v>80</v>
      </c>
      <c r="AD11" t="s">
        <v>35</v>
      </c>
    </row>
    <row r="12" spans="1:30" x14ac:dyDescent="0.2">
      <c r="A12" t="s">
        <v>83</v>
      </c>
      <c r="B12" t="s">
        <v>84</v>
      </c>
      <c r="C12">
        <v>51666532</v>
      </c>
      <c r="D12">
        <v>49977453</v>
      </c>
      <c r="E12">
        <v>3159</v>
      </c>
      <c r="H12" t="s">
        <v>24</v>
      </c>
      <c r="J12" s="3" t="s">
        <v>2084</v>
      </c>
      <c r="K12" t="s">
        <v>87</v>
      </c>
      <c r="R12" t="s">
        <v>85</v>
      </c>
      <c r="S12" t="b">
        <f>FALSE()</f>
        <v>0</v>
      </c>
      <c r="T12" t="s">
        <v>30</v>
      </c>
      <c r="W12" t="s">
        <v>88</v>
      </c>
      <c r="X12" t="s">
        <v>23</v>
      </c>
      <c r="Z12" t="s">
        <v>86</v>
      </c>
      <c r="AD12" t="s">
        <v>28</v>
      </c>
    </row>
    <row r="13" spans="1:30" x14ac:dyDescent="0.2">
      <c r="A13" t="s">
        <v>89</v>
      </c>
      <c r="B13" t="s">
        <v>90</v>
      </c>
      <c r="C13">
        <v>59266306</v>
      </c>
      <c r="D13">
        <v>58421667</v>
      </c>
      <c r="E13">
        <v>636</v>
      </c>
      <c r="H13" s="3" t="s">
        <v>2085</v>
      </c>
      <c r="J13" s="3" t="s">
        <v>2084</v>
      </c>
      <c r="K13" t="s">
        <v>92</v>
      </c>
      <c r="R13" t="s">
        <v>85</v>
      </c>
      <c r="S13" t="b">
        <f>FALSE()</f>
        <v>0</v>
      </c>
      <c r="T13" t="s">
        <v>30</v>
      </c>
      <c r="W13" t="s">
        <v>93</v>
      </c>
      <c r="X13" t="s">
        <v>23</v>
      </c>
      <c r="Z13" t="s">
        <v>91</v>
      </c>
      <c r="AD13" t="s">
        <v>35</v>
      </c>
    </row>
    <row r="14" spans="1:30" x14ac:dyDescent="0.2">
      <c r="A14" t="s">
        <v>94</v>
      </c>
      <c r="B14" t="s">
        <v>95</v>
      </c>
      <c r="C14">
        <v>22172626</v>
      </c>
      <c r="D14">
        <v>18257574</v>
      </c>
      <c r="E14">
        <v>5697</v>
      </c>
      <c r="H14" t="s">
        <v>24</v>
      </c>
      <c r="J14" s="3" t="s">
        <v>2084</v>
      </c>
      <c r="K14" t="s">
        <v>99</v>
      </c>
      <c r="R14" t="s">
        <v>97</v>
      </c>
      <c r="S14" t="b">
        <f>FALSE()</f>
        <v>0</v>
      </c>
      <c r="T14" t="s">
        <v>30</v>
      </c>
      <c r="W14" t="s">
        <v>100</v>
      </c>
      <c r="X14" t="s">
        <v>96</v>
      </c>
      <c r="Z14" t="s">
        <v>98</v>
      </c>
      <c r="AD14" t="s">
        <v>28</v>
      </c>
    </row>
    <row r="15" spans="1:30" x14ac:dyDescent="0.2">
      <c r="A15" t="s">
        <v>101</v>
      </c>
      <c r="B15" t="s">
        <v>102</v>
      </c>
      <c r="C15">
        <v>81023723</v>
      </c>
      <c r="D15">
        <v>78755608</v>
      </c>
      <c r="E15">
        <v>1101</v>
      </c>
      <c r="H15" s="3" t="s">
        <v>2085</v>
      </c>
      <c r="J15" s="3" t="s">
        <v>2084</v>
      </c>
      <c r="K15" t="s">
        <v>104</v>
      </c>
      <c r="R15" t="s">
        <v>97</v>
      </c>
      <c r="S15" t="b">
        <f>TRUE()</f>
        <v>1</v>
      </c>
      <c r="T15" t="s">
        <v>30</v>
      </c>
      <c r="W15" t="s">
        <v>105</v>
      </c>
      <c r="X15" t="s">
        <v>96</v>
      </c>
      <c r="Z15" t="s">
        <v>103</v>
      </c>
      <c r="AC15">
        <v>100</v>
      </c>
      <c r="AD15" t="s">
        <v>35</v>
      </c>
    </row>
    <row r="16" spans="1:30" x14ac:dyDescent="0.2">
      <c r="A16" t="s">
        <v>106</v>
      </c>
      <c r="B16" t="s">
        <v>107</v>
      </c>
      <c r="C16">
        <v>23135866</v>
      </c>
      <c r="D16">
        <v>18077534</v>
      </c>
      <c r="E16">
        <v>9008</v>
      </c>
      <c r="H16" t="s">
        <v>24</v>
      </c>
      <c r="J16" s="3" t="s">
        <v>2084</v>
      </c>
      <c r="K16" t="s">
        <v>109</v>
      </c>
      <c r="R16" t="s">
        <v>97</v>
      </c>
      <c r="S16" t="b">
        <f>TRUE()</f>
        <v>1</v>
      </c>
      <c r="T16" t="s">
        <v>30</v>
      </c>
      <c r="W16" t="s">
        <v>110</v>
      </c>
      <c r="X16" t="s">
        <v>96</v>
      </c>
      <c r="Z16" t="s">
        <v>108</v>
      </c>
      <c r="AD16" t="s">
        <v>28</v>
      </c>
    </row>
    <row r="17" spans="1:30" x14ac:dyDescent="0.2">
      <c r="A17" t="s">
        <v>111</v>
      </c>
      <c r="B17" t="s">
        <v>112</v>
      </c>
      <c r="C17">
        <v>78906076</v>
      </c>
      <c r="D17">
        <v>76560480</v>
      </c>
      <c r="E17">
        <v>2968</v>
      </c>
      <c r="H17" s="3" t="s">
        <v>2085</v>
      </c>
      <c r="J17" s="3" t="s">
        <v>2084</v>
      </c>
      <c r="K17" t="s">
        <v>114</v>
      </c>
      <c r="R17" t="s">
        <v>97</v>
      </c>
      <c r="S17" t="b">
        <f>FALSE()</f>
        <v>0</v>
      </c>
      <c r="T17" t="s">
        <v>30</v>
      </c>
      <c r="W17" t="s">
        <v>115</v>
      </c>
      <c r="X17" t="s">
        <v>96</v>
      </c>
      <c r="Z17" t="s">
        <v>113</v>
      </c>
      <c r="AC17">
        <v>100</v>
      </c>
      <c r="AD17" t="s">
        <v>35</v>
      </c>
    </row>
    <row r="18" spans="1:30" x14ac:dyDescent="0.2">
      <c r="A18" t="s">
        <v>116</v>
      </c>
      <c r="B18" t="s">
        <v>117</v>
      </c>
      <c r="C18">
        <v>2513359</v>
      </c>
      <c r="D18">
        <v>1956435</v>
      </c>
      <c r="E18">
        <v>690</v>
      </c>
      <c r="H18" t="s">
        <v>24</v>
      </c>
      <c r="J18" s="3" t="s">
        <v>2084</v>
      </c>
      <c r="K18" t="s">
        <v>119</v>
      </c>
      <c r="R18" t="s">
        <v>97</v>
      </c>
      <c r="S18" t="b">
        <f>FALSE()</f>
        <v>0</v>
      </c>
      <c r="T18" t="s">
        <v>122</v>
      </c>
      <c r="V18" t="s">
        <v>120</v>
      </c>
      <c r="W18" t="s">
        <v>121</v>
      </c>
      <c r="X18" t="s">
        <v>96</v>
      </c>
      <c r="Z18" t="s">
        <v>118</v>
      </c>
      <c r="AD18" t="s">
        <v>28</v>
      </c>
    </row>
    <row r="19" spans="1:30" x14ac:dyDescent="0.2">
      <c r="A19" t="s">
        <v>123</v>
      </c>
      <c r="B19" t="s">
        <v>124</v>
      </c>
      <c r="C19">
        <v>62161455</v>
      </c>
      <c r="D19">
        <v>59433187</v>
      </c>
      <c r="E19">
        <v>1366</v>
      </c>
      <c r="H19" s="3" t="s">
        <v>2085</v>
      </c>
      <c r="J19" s="3" t="s">
        <v>2084</v>
      </c>
      <c r="K19" t="s">
        <v>126</v>
      </c>
      <c r="R19" t="s">
        <v>97</v>
      </c>
      <c r="S19" t="b">
        <f>FALSE()</f>
        <v>0</v>
      </c>
      <c r="T19" t="s">
        <v>122</v>
      </c>
      <c r="V19" t="s">
        <v>127</v>
      </c>
      <c r="W19" t="s">
        <v>128</v>
      </c>
      <c r="X19" t="s">
        <v>96</v>
      </c>
      <c r="Z19" t="s">
        <v>125</v>
      </c>
      <c r="AC19">
        <v>100</v>
      </c>
      <c r="AD19" t="s">
        <v>35</v>
      </c>
    </row>
    <row r="20" spans="1:30" x14ac:dyDescent="0.2">
      <c r="A20" t="s">
        <v>129</v>
      </c>
      <c r="B20" t="s">
        <v>130</v>
      </c>
      <c r="C20">
        <v>56029521</v>
      </c>
      <c r="D20">
        <v>53224864</v>
      </c>
      <c r="E20">
        <v>7510</v>
      </c>
      <c r="H20" t="s">
        <v>24</v>
      </c>
      <c r="J20" s="3" t="s">
        <v>2084</v>
      </c>
      <c r="K20" t="s">
        <v>132</v>
      </c>
      <c r="R20" t="s">
        <v>97</v>
      </c>
      <c r="S20" t="b">
        <f>FALSE()</f>
        <v>0</v>
      </c>
      <c r="T20" t="s">
        <v>122</v>
      </c>
      <c r="V20" t="s">
        <v>133</v>
      </c>
      <c r="W20" t="s">
        <v>134</v>
      </c>
      <c r="X20" t="s">
        <v>96</v>
      </c>
      <c r="Z20" t="s">
        <v>131</v>
      </c>
      <c r="AD20" t="s">
        <v>28</v>
      </c>
    </row>
    <row r="21" spans="1:30" x14ac:dyDescent="0.2">
      <c r="A21" t="s">
        <v>135</v>
      </c>
      <c r="B21" t="s">
        <v>136</v>
      </c>
      <c r="C21">
        <v>69979815</v>
      </c>
      <c r="D21">
        <v>68512694</v>
      </c>
      <c r="E21">
        <v>885</v>
      </c>
      <c r="H21" s="3" t="s">
        <v>2085</v>
      </c>
      <c r="J21" s="3" t="s">
        <v>2084</v>
      </c>
      <c r="K21" t="s">
        <v>138</v>
      </c>
      <c r="R21" t="s">
        <v>97</v>
      </c>
      <c r="S21" t="b">
        <f>FALSE()</f>
        <v>0</v>
      </c>
      <c r="T21" t="s">
        <v>122</v>
      </c>
      <c r="V21" t="s">
        <v>133</v>
      </c>
      <c r="W21" t="s">
        <v>139</v>
      </c>
      <c r="X21" t="s">
        <v>96</v>
      </c>
      <c r="Z21" t="s">
        <v>137</v>
      </c>
      <c r="AC21">
        <v>100</v>
      </c>
      <c r="AD21" t="s">
        <v>35</v>
      </c>
    </row>
    <row r="22" spans="1:30" x14ac:dyDescent="0.2">
      <c r="A22" t="s">
        <v>140</v>
      </c>
      <c r="B22" t="s">
        <v>141</v>
      </c>
      <c r="C22">
        <v>1292866</v>
      </c>
      <c r="D22">
        <v>936206</v>
      </c>
      <c r="E22">
        <v>1619</v>
      </c>
      <c r="H22" t="s">
        <v>24</v>
      </c>
      <c r="J22" s="3" t="s">
        <v>2084</v>
      </c>
      <c r="K22" t="s">
        <v>143</v>
      </c>
      <c r="R22" t="s">
        <v>97</v>
      </c>
      <c r="S22" t="b">
        <f>FALSE()</f>
        <v>0</v>
      </c>
      <c r="T22" t="s">
        <v>122</v>
      </c>
      <c r="V22" t="s">
        <v>144</v>
      </c>
      <c r="W22" t="s">
        <v>145</v>
      </c>
      <c r="X22" t="s">
        <v>96</v>
      </c>
      <c r="Z22" t="s">
        <v>142</v>
      </c>
      <c r="AD22" t="s">
        <v>28</v>
      </c>
    </row>
    <row r="23" spans="1:30" x14ac:dyDescent="0.2">
      <c r="A23" t="s">
        <v>146</v>
      </c>
      <c r="B23" t="s">
        <v>147</v>
      </c>
      <c r="C23">
        <v>55949505</v>
      </c>
      <c r="D23">
        <v>53921998</v>
      </c>
      <c r="E23">
        <v>3901</v>
      </c>
      <c r="H23" s="3" t="s">
        <v>2085</v>
      </c>
      <c r="J23" s="3" t="s">
        <v>2084</v>
      </c>
      <c r="K23" t="s">
        <v>149</v>
      </c>
      <c r="R23" t="s">
        <v>97</v>
      </c>
      <c r="S23" t="b">
        <f>FALSE()</f>
        <v>0</v>
      </c>
      <c r="T23" t="s">
        <v>122</v>
      </c>
      <c r="V23" t="s">
        <v>144</v>
      </c>
      <c r="W23" t="s">
        <v>150</v>
      </c>
      <c r="X23" t="s">
        <v>96</v>
      </c>
      <c r="Z23" t="s">
        <v>148</v>
      </c>
      <c r="AC23">
        <v>100</v>
      </c>
      <c r="AD23" t="s">
        <v>35</v>
      </c>
    </row>
    <row r="24" spans="1:30" x14ac:dyDescent="0.2">
      <c r="A24" t="s">
        <v>151</v>
      </c>
      <c r="B24" t="s">
        <v>152</v>
      </c>
      <c r="C24">
        <v>22827811</v>
      </c>
      <c r="D24">
        <v>22605228</v>
      </c>
      <c r="E24">
        <v>192</v>
      </c>
      <c r="H24" s="3" t="s">
        <v>2085</v>
      </c>
      <c r="J24" s="3" t="s">
        <v>2084</v>
      </c>
      <c r="K24" t="s">
        <v>155</v>
      </c>
      <c r="R24" t="s">
        <v>97</v>
      </c>
      <c r="S24" t="b">
        <f>FALSE()</f>
        <v>0</v>
      </c>
      <c r="T24" t="s">
        <v>30</v>
      </c>
      <c r="W24" t="s">
        <v>156</v>
      </c>
      <c r="X24" t="s">
        <v>153</v>
      </c>
      <c r="Z24" t="s">
        <v>154</v>
      </c>
      <c r="AD24" t="s">
        <v>35</v>
      </c>
    </row>
    <row r="25" spans="1:30" x14ac:dyDescent="0.2">
      <c r="A25" t="s">
        <v>157</v>
      </c>
      <c r="B25" t="s">
        <v>158</v>
      </c>
      <c r="C25">
        <v>23207708</v>
      </c>
      <c r="D25">
        <v>22355787</v>
      </c>
      <c r="E25">
        <v>4027</v>
      </c>
      <c r="H25" s="3" t="s">
        <v>2085</v>
      </c>
      <c r="J25" s="3" t="s">
        <v>2084</v>
      </c>
      <c r="K25" t="s">
        <v>160</v>
      </c>
      <c r="R25" t="s">
        <v>97</v>
      </c>
      <c r="S25" t="b">
        <f>FALSE()</f>
        <v>0</v>
      </c>
      <c r="T25" t="s">
        <v>30</v>
      </c>
      <c r="W25" t="s">
        <v>161</v>
      </c>
      <c r="X25" t="s">
        <v>153</v>
      </c>
      <c r="Z25" t="s">
        <v>159</v>
      </c>
      <c r="AD25" t="s">
        <v>35</v>
      </c>
    </row>
    <row r="26" spans="1:30" x14ac:dyDescent="0.2">
      <c r="A26" t="s">
        <v>162</v>
      </c>
      <c r="B26" t="s">
        <v>163</v>
      </c>
      <c r="C26">
        <v>18014237</v>
      </c>
      <c r="D26">
        <v>17775556</v>
      </c>
      <c r="E26">
        <v>2836</v>
      </c>
      <c r="H26" s="3" t="s">
        <v>2085</v>
      </c>
      <c r="J26" s="3" t="s">
        <v>2084</v>
      </c>
      <c r="K26" t="s">
        <v>165</v>
      </c>
      <c r="R26" t="s">
        <v>25</v>
      </c>
      <c r="S26" t="b">
        <f>FALSE()</f>
        <v>0</v>
      </c>
      <c r="T26" t="s">
        <v>30</v>
      </c>
      <c r="W26" t="s">
        <v>166</v>
      </c>
      <c r="X26" t="s">
        <v>153</v>
      </c>
      <c r="Z26" t="s">
        <v>164</v>
      </c>
      <c r="AD26" t="s">
        <v>35</v>
      </c>
    </row>
    <row r="27" spans="1:30" x14ac:dyDescent="0.2">
      <c r="A27" t="s">
        <v>167</v>
      </c>
      <c r="B27" t="s">
        <v>168</v>
      </c>
      <c r="C27">
        <v>22510110</v>
      </c>
      <c r="D27">
        <v>22246672</v>
      </c>
      <c r="E27">
        <v>194</v>
      </c>
      <c r="H27" s="3" t="s">
        <v>2085</v>
      </c>
      <c r="J27" s="3" t="s">
        <v>2084</v>
      </c>
      <c r="K27" t="s">
        <v>99</v>
      </c>
      <c r="R27" t="s">
        <v>97</v>
      </c>
      <c r="S27" t="b">
        <f>FALSE()</f>
        <v>0</v>
      </c>
      <c r="T27" t="s">
        <v>30</v>
      </c>
      <c r="V27" t="s">
        <v>170</v>
      </c>
      <c r="W27" t="s">
        <v>171</v>
      </c>
      <c r="X27" t="s">
        <v>153</v>
      </c>
      <c r="Z27" t="s">
        <v>169</v>
      </c>
      <c r="AD27" t="s">
        <v>35</v>
      </c>
    </row>
    <row r="28" spans="1:30" x14ac:dyDescent="0.2">
      <c r="A28" t="s">
        <v>172</v>
      </c>
      <c r="B28" t="s">
        <v>173</v>
      </c>
      <c r="C28">
        <v>8911434</v>
      </c>
      <c r="D28">
        <v>7943287</v>
      </c>
      <c r="E28">
        <v>822</v>
      </c>
      <c r="H28" s="3" t="s">
        <v>2069</v>
      </c>
      <c r="J28" s="3" t="s">
        <v>2084</v>
      </c>
      <c r="K28" t="s">
        <v>81</v>
      </c>
      <c r="L28" t="s">
        <v>176</v>
      </c>
      <c r="M28" t="s">
        <v>177</v>
      </c>
      <c r="R28" t="s">
        <v>97</v>
      </c>
      <c r="S28" t="b">
        <f>FALSE()</f>
        <v>0</v>
      </c>
      <c r="T28" t="s">
        <v>30</v>
      </c>
      <c r="W28" t="s">
        <v>175</v>
      </c>
      <c r="X28" t="s">
        <v>153</v>
      </c>
      <c r="Z28" t="s">
        <v>174</v>
      </c>
      <c r="AD28" t="s">
        <v>28</v>
      </c>
    </row>
    <row r="29" spans="1:30" x14ac:dyDescent="0.2">
      <c r="A29" t="s">
        <v>178</v>
      </c>
      <c r="B29" t="s">
        <v>179</v>
      </c>
      <c r="C29">
        <v>4428396</v>
      </c>
      <c r="D29">
        <v>4101482</v>
      </c>
      <c r="E29">
        <v>455</v>
      </c>
      <c r="H29" s="3" t="s">
        <v>2069</v>
      </c>
      <c r="J29" s="3" t="s">
        <v>2084</v>
      </c>
      <c r="K29" t="s">
        <v>70</v>
      </c>
      <c r="L29" t="s">
        <v>176</v>
      </c>
      <c r="M29" t="s">
        <v>177</v>
      </c>
      <c r="R29" t="s">
        <v>97</v>
      </c>
      <c r="S29" t="b">
        <f>FALSE()</f>
        <v>0</v>
      </c>
      <c r="T29" t="s">
        <v>30</v>
      </c>
      <c r="W29" t="s">
        <v>181</v>
      </c>
      <c r="X29" t="s">
        <v>153</v>
      </c>
      <c r="Z29" t="s">
        <v>180</v>
      </c>
      <c r="AD29" t="s">
        <v>28</v>
      </c>
    </row>
    <row r="30" spans="1:30" x14ac:dyDescent="0.2">
      <c r="A30" t="s">
        <v>182</v>
      </c>
      <c r="B30" t="s">
        <v>183</v>
      </c>
      <c r="C30">
        <v>5820531</v>
      </c>
      <c r="D30">
        <v>5359746</v>
      </c>
      <c r="E30">
        <v>754</v>
      </c>
      <c r="H30" s="3" t="s">
        <v>2069</v>
      </c>
      <c r="J30" s="3" t="s">
        <v>2084</v>
      </c>
      <c r="K30" t="s">
        <v>119</v>
      </c>
      <c r="L30" t="s">
        <v>176</v>
      </c>
      <c r="M30" t="s">
        <v>177</v>
      </c>
      <c r="R30" t="s">
        <v>25</v>
      </c>
      <c r="S30" t="b">
        <f>FALSE()</f>
        <v>0</v>
      </c>
      <c r="T30" t="s">
        <v>30</v>
      </c>
      <c r="W30" t="s">
        <v>139</v>
      </c>
      <c r="X30" t="s">
        <v>153</v>
      </c>
      <c r="Z30" t="s">
        <v>184</v>
      </c>
      <c r="AD30" t="s">
        <v>28</v>
      </c>
    </row>
    <row r="31" spans="1:30" x14ac:dyDescent="0.2">
      <c r="A31" t="s">
        <v>185</v>
      </c>
      <c r="B31" t="s">
        <v>186</v>
      </c>
      <c r="C31">
        <v>12119044</v>
      </c>
      <c r="D31">
        <v>11587585</v>
      </c>
      <c r="E31">
        <v>987</v>
      </c>
      <c r="H31" s="3" t="s">
        <v>2069</v>
      </c>
      <c r="J31" s="3" t="s">
        <v>2084</v>
      </c>
      <c r="K31" t="s">
        <v>188</v>
      </c>
      <c r="L31" t="s">
        <v>176</v>
      </c>
      <c r="M31" t="s">
        <v>177</v>
      </c>
      <c r="R31" t="s">
        <v>97</v>
      </c>
      <c r="S31" t="b">
        <f>FALSE()</f>
        <v>0</v>
      </c>
      <c r="T31" t="s">
        <v>30</v>
      </c>
      <c r="V31" t="s">
        <v>170</v>
      </c>
      <c r="W31" t="s">
        <v>189</v>
      </c>
      <c r="X31" t="s">
        <v>153</v>
      </c>
      <c r="Z31" t="s">
        <v>187</v>
      </c>
      <c r="AD31" t="s">
        <v>28</v>
      </c>
    </row>
    <row r="32" spans="1:30" x14ac:dyDescent="0.2">
      <c r="A32" t="s">
        <v>190</v>
      </c>
      <c r="B32" t="s">
        <v>191</v>
      </c>
      <c r="C32">
        <v>12789593</v>
      </c>
      <c r="D32">
        <v>12249405</v>
      </c>
      <c r="E32">
        <v>1055</v>
      </c>
      <c r="H32" s="3" t="s">
        <v>2085</v>
      </c>
      <c r="J32" s="3" t="s">
        <v>2084</v>
      </c>
      <c r="K32" t="s">
        <v>193</v>
      </c>
      <c r="R32" t="s">
        <v>25</v>
      </c>
      <c r="S32" t="b">
        <f>FALSE()</f>
        <v>0</v>
      </c>
      <c r="T32" t="s">
        <v>30</v>
      </c>
      <c r="W32" t="s">
        <v>194</v>
      </c>
      <c r="X32" t="s">
        <v>153</v>
      </c>
      <c r="Z32" t="s">
        <v>192</v>
      </c>
      <c r="AD32" t="s">
        <v>35</v>
      </c>
    </row>
    <row r="33" spans="1:30" x14ac:dyDescent="0.2">
      <c r="A33" t="s">
        <v>195</v>
      </c>
      <c r="B33" t="s">
        <v>196</v>
      </c>
      <c r="C33">
        <v>8798826</v>
      </c>
      <c r="D33">
        <v>8223625</v>
      </c>
      <c r="E33">
        <v>738</v>
      </c>
      <c r="H33" s="3" t="s">
        <v>2085</v>
      </c>
      <c r="J33" s="3" t="s">
        <v>2084</v>
      </c>
      <c r="K33" t="s">
        <v>87</v>
      </c>
      <c r="R33" t="s">
        <v>25</v>
      </c>
      <c r="S33" t="b">
        <f>FALSE()</f>
        <v>0</v>
      </c>
      <c r="T33" t="s">
        <v>30</v>
      </c>
      <c r="W33" t="s">
        <v>134</v>
      </c>
      <c r="X33" t="s">
        <v>153</v>
      </c>
      <c r="Z33" t="s">
        <v>197</v>
      </c>
      <c r="AD33" t="s">
        <v>35</v>
      </c>
    </row>
    <row r="34" spans="1:30" x14ac:dyDescent="0.2">
      <c r="A34" t="s">
        <v>198</v>
      </c>
      <c r="B34" t="s">
        <v>199</v>
      </c>
      <c r="C34">
        <v>15138766</v>
      </c>
      <c r="D34">
        <v>14768077</v>
      </c>
      <c r="E34">
        <v>1242</v>
      </c>
      <c r="H34" s="3" t="s">
        <v>2085</v>
      </c>
      <c r="J34" s="3" t="s">
        <v>2084</v>
      </c>
      <c r="K34" t="s">
        <v>201</v>
      </c>
      <c r="R34" t="s">
        <v>25</v>
      </c>
      <c r="S34" t="b">
        <f>FALSE()</f>
        <v>0</v>
      </c>
      <c r="T34" t="s">
        <v>202</v>
      </c>
      <c r="V34" t="s">
        <v>170</v>
      </c>
      <c r="W34" t="s">
        <v>29</v>
      </c>
      <c r="X34" t="s">
        <v>153</v>
      </c>
      <c r="Z34" t="s">
        <v>200</v>
      </c>
      <c r="AD34" t="s">
        <v>35</v>
      </c>
    </row>
    <row r="35" spans="1:30" x14ac:dyDescent="0.2">
      <c r="A35" t="s">
        <v>203</v>
      </c>
      <c r="B35" t="s">
        <v>204</v>
      </c>
      <c r="C35">
        <v>8739573</v>
      </c>
      <c r="D35">
        <v>8144617</v>
      </c>
      <c r="E35">
        <v>1489</v>
      </c>
      <c r="H35" s="3" t="s">
        <v>2069</v>
      </c>
      <c r="J35" s="3" t="s">
        <v>2084</v>
      </c>
      <c r="K35" t="s">
        <v>41</v>
      </c>
      <c r="L35" t="s">
        <v>176</v>
      </c>
      <c r="M35" t="s">
        <v>177</v>
      </c>
      <c r="R35" t="s">
        <v>25</v>
      </c>
      <c r="S35" t="b">
        <f>FALSE()</f>
        <v>0</v>
      </c>
      <c r="T35" t="s">
        <v>30</v>
      </c>
      <c r="W35" t="s">
        <v>206</v>
      </c>
      <c r="X35" t="s">
        <v>153</v>
      </c>
      <c r="Z35" t="s">
        <v>205</v>
      </c>
      <c r="AD35" t="s">
        <v>28</v>
      </c>
    </row>
    <row r="36" spans="1:30" x14ac:dyDescent="0.2">
      <c r="A36" t="s">
        <v>207</v>
      </c>
      <c r="B36" t="s">
        <v>208</v>
      </c>
      <c r="C36">
        <v>1712697</v>
      </c>
      <c r="D36">
        <v>1283586</v>
      </c>
      <c r="E36">
        <v>632</v>
      </c>
      <c r="H36" s="3" t="s">
        <v>2069</v>
      </c>
      <c r="J36" s="3" t="s">
        <v>2084</v>
      </c>
      <c r="K36" t="s">
        <v>210</v>
      </c>
      <c r="L36" t="s">
        <v>176</v>
      </c>
      <c r="M36" t="s">
        <v>177</v>
      </c>
      <c r="R36" t="s">
        <v>25</v>
      </c>
      <c r="S36" t="b">
        <f>FALSE()</f>
        <v>0</v>
      </c>
      <c r="T36" t="s">
        <v>30</v>
      </c>
      <c r="W36" t="s">
        <v>66</v>
      </c>
      <c r="X36" t="s">
        <v>153</v>
      </c>
      <c r="Z36" t="s">
        <v>209</v>
      </c>
      <c r="AD36" t="s">
        <v>28</v>
      </c>
    </row>
    <row r="37" spans="1:30" x14ac:dyDescent="0.2">
      <c r="A37" t="s">
        <v>211</v>
      </c>
      <c r="B37" t="s">
        <v>212</v>
      </c>
      <c r="C37">
        <v>12171299</v>
      </c>
      <c r="D37">
        <v>11565756</v>
      </c>
      <c r="E37">
        <v>1179</v>
      </c>
      <c r="H37" s="3" t="s">
        <v>2069</v>
      </c>
      <c r="J37" s="3" t="s">
        <v>2084</v>
      </c>
      <c r="K37" t="s">
        <v>214</v>
      </c>
      <c r="L37" t="s">
        <v>176</v>
      </c>
      <c r="M37" t="s">
        <v>177</v>
      </c>
      <c r="R37" t="s">
        <v>25</v>
      </c>
      <c r="S37" t="b">
        <f>FALSE()</f>
        <v>0</v>
      </c>
      <c r="T37" t="s">
        <v>202</v>
      </c>
      <c r="V37" t="s">
        <v>170</v>
      </c>
      <c r="W37" t="s">
        <v>215</v>
      </c>
      <c r="X37" t="s">
        <v>153</v>
      </c>
      <c r="Z37" t="s">
        <v>213</v>
      </c>
      <c r="AD37" t="s">
        <v>28</v>
      </c>
    </row>
    <row r="38" spans="1:30" x14ac:dyDescent="0.2">
      <c r="A38" t="s">
        <v>216</v>
      </c>
      <c r="B38" t="s">
        <v>217</v>
      </c>
      <c r="C38">
        <v>26788711</v>
      </c>
      <c r="D38">
        <v>26620598</v>
      </c>
      <c r="E38">
        <v>95</v>
      </c>
      <c r="H38" s="3" t="s">
        <v>2085</v>
      </c>
      <c r="J38" s="3" t="s">
        <v>2084</v>
      </c>
      <c r="K38" t="s">
        <v>138</v>
      </c>
      <c r="L38" t="s">
        <v>176</v>
      </c>
      <c r="M38" t="s">
        <v>221</v>
      </c>
      <c r="R38" t="s">
        <v>218</v>
      </c>
      <c r="S38" t="b">
        <f>FALSE()</f>
        <v>0</v>
      </c>
      <c r="T38" t="s">
        <v>202</v>
      </c>
      <c r="W38" t="s">
        <v>220</v>
      </c>
      <c r="X38" t="s">
        <v>153</v>
      </c>
      <c r="Z38" t="s">
        <v>219</v>
      </c>
      <c r="AD38" t="s">
        <v>35</v>
      </c>
    </row>
    <row r="39" spans="1:30" x14ac:dyDescent="0.2">
      <c r="A39" t="s">
        <v>222</v>
      </c>
      <c r="B39" t="s">
        <v>223</v>
      </c>
      <c r="C39">
        <v>20760644</v>
      </c>
      <c r="D39">
        <v>20569289</v>
      </c>
      <c r="E39">
        <v>113</v>
      </c>
      <c r="H39" s="3" t="s">
        <v>2085</v>
      </c>
      <c r="J39" s="3" t="s">
        <v>2084</v>
      </c>
      <c r="K39" t="s">
        <v>225</v>
      </c>
      <c r="L39" t="s">
        <v>176</v>
      </c>
      <c r="M39" t="s">
        <v>227</v>
      </c>
      <c r="R39" t="s">
        <v>218</v>
      </c>
      <c r="S39" t="b">
        <f>FALSE()</f>
        <v>0</v>
      </c>
      <c r="T39" t="s">
        <v>202</v>
      </c>
      <c r="W39" t="s">
        <v>226</v>
      </c>
      <c r="X39" t="s">
        <v>153</v>
      </c>
      <c r="Z39" t="s">
        <v>224</v>
      </c>
      <c r="AD39" t="s">
        <v>35</v>
      </c>
    </row>
    <row r="40" spans="1:30" x14ac:dyDescent="0.2">
      <c r="A40" t="s">
        <v>228</v>
      </c>
      <c r="B40" t="s">
        <v>229</v>
      </c>
      <c r="C40">
        <v>22718068</v>
      </c>
      <c r="D40">
        <v>22516590</v>
      </c>
      <c r="E40">
        <v>103</v>
      </c>
      <c r="H40" s="3" t="s">
        <v>2085</v>
      </c>
      <c r="J40" s="3" t="s">
        <v>2084</v>
      </c>
      <c r="K40" t="s">
        <v>52</v>
      </c>
      <c r="R40" t="s">
        <v>218</v>
      </c>
      <c r="S40" t="b">
        <f>FALSE()</f>
        <v>0</v>
      </c>
      <c r="T40" t="s">
        <v>202</v>
      </c>
      <c r="W40" t="s">
        <v>231</v>
      </c>
      <c r="X40" t="s">
        <v>153</v>
      </c>
      <c r="Z40" t="s">
        <v>230</v>
      </c>
      <c r="AD40" t="s">
        <v>35</v>
      </c>
    </row>
    <row r="41" spans="1:30" x14ac:dyDescent="0.2">
      <c r="A41" t="s">
        <v>232</v>
      </c>
      <c r="B41" t="s">
        <v>233</v>
      </c>
      <c r="C41">
        <v>14225290</v>
      </c>
      <c r="D41">
        <v>13732825</v>
      </c>
      <c r="E41">
        <v>7700</v>
      </c>
      <c r="H41" s="3" t="s">
        <v>2085</v>
      </c>
      <c r="J41" s="3" t="s">
        <v>2084</v>
      </c>
      <c r="K41" t="s">
        <v>59</v>
      </c>
      <c r="R41" t="s">
        <v>218</v>
      </c>
      <c r="S41" t="b">
        <f>FALSE()</f>
        <v>0</v>
      </c>
      <c r="T41" t="s">
        <v>202</v>
      </c>
      <c r="W41" t="s">
        <v>47</v>
      </c>
      <c r="X41" t="s">
        <v>153</v>
      </c>
      <c r="Z41" t="s">
        <v>234</v>
      </c>
      <c r="AD41" t="s">
        <v>35</v>
      </c>
    </row>
    <row r="42" spans="1:30" x14ac:dyDescent="0.2">
      <c r="A42" t="s">
        <v>235</v>
      </c>
      <c r="B42" t="s">
        <v>236</v>
      </c>
      <c r="C42">
        <v>20690503</v>
      </c>
      <c r="D42">
        <v>20391814</v>
      </c>
      <c r="E42">
        <v>1613</v>
      </c>
      <c r="H42" s="3" t="s">
        <v>2085</v>
      </c>
      <c r="J42" s="3" t="s">
        <v>2084</v>
      </c>
      <c r="K42" t="s">
        <v>238</v>
      </c>
      <c r="R42" t="s">
        <v>39</v>
      </c>
      <c r="S42" t="b">
        <f>FALSE()</f>
        <v>0</v>
      </c>
      <c r="T42" t="s">
        <v>202</v>
      </c>
      <c r="W42" t="s">
        <v>239</v>
      </c>
      <c r="X42" t="s">
        <v>153</v>
      </c>
      <c r="Z42" t="s">
        <v>237</v>
      </c>
      <c r="AD42" t="s">
        <v>35</v>
      </c>
    </row>
    <row r="43" spans="1:30" x14ac:dyDescent="0.2">
      <c r="A43" t="s">
        <v>240</v>
      </c>
      <c r="B43" t="s">
        <v>241</v>
      </c>
      <c r="C43">
        <v>24164234</v>
      </c>
      <c r="D43">
        <v>23905676</v>
      </c>
      <c r="E43">
        <v>87</v>
      </c>
      <c r="H43" s="3" t="s">
        <v>2085</v>
      </c>
      <c r="J43" s="3" t="s">
        <v>2084</v>
      </c>
      <c r="K43" t="s">
        <v>243</v>
      </c>
      <c r="R43" t="s">
        <v>218</v>
      </c>
      <c r="S43" t="b">
        <f>FALSE()</f>
        <v>0</v>
      </c>
      <c r="T43" t="s">
        <v>202</v>
      </c>
      <c r="V43" t="s">
        <v>170</v>
      </c>
      <c r="W43" t="s">
        <v>244</v>
      </c>
      <c r="X43" t="s">
        <v>153</v>
      </c>
      <c r="Z43" t="s">
        <v>242</v>
      </c>
      <c r="AD43" t="s">
        <v>35</v>
      </c>
    </row>
    <row r="44" spans="1:30" x14ac:dyDescent="0.2">
      <c r="A44" t="s">
        <v>245</v>
      </c>
      <c r="B44" t="s">
        <v>246</v>
      </c>
      <c r="C44">
        <v>10270188</v>
      </c>
      <c r="D44">
        <v>9539120</v>
      </c>
      <c r="E44">
        <v>1678</v>
      </c>
      <c r="H44" s="3" t="s">
        <v>2069</v>
      </c>
      <c r="J44" s="3" t="s">
        <v>2084</v>
      </c>
      <c r="K44" t="s">
        <v>248</v>
      </c>
      <c r="L44" t="s">
        <v>176</v>
      </c>
      <c r="M44" t="s">
        <v>221</v>
      </c>
      <c r="R44" t="s">
        <v>218</v>
      </c>
      <c r="S44" t="b">
        <f>FALSE()</f>
        <v>0</v>
      </c>
      <c r="T44" t="s">
        <v>202</v>
      </c>
      <c r="W44" t="s">
        <v>71</v>
      </c>
      <c r="X44" t="s">
        <v>153</v>
      </c>
      <c r="Z44" t="s">
        <v>247</v>
      </c>
      <c r="AD44" t="s">
        <v>28</v>
      </c>
    </row>
    <row r="45" spans="1:30" x14ac:dyDescent="0.2">
      <c r="A45" t="s">
        <v>249</v>
      </c>
      <c r="B45" t="s">
        <v>250</v>
      </c>
      <c r="C45">
        <v>13987582</v>
      </c>
      <c r="D45">
        <v>13258485</v>
      </c>
      <c r="E45">
        <v>2585</v>
      </c>
      <c r="H45" s="3" t="s">
        <v>2069</v>
      </c>
      <c r="J45" s="3" t="s">
        <v>2084</v>
      </c>
      <c r="K45" t="s">
        <v>252</v>
      </c>
      <c r="L45" t="s">
        <v>176</v>
      </c>
      <c r="M45" t="s">
        <v>227</v>
      </c>
      <c r="R45" t="s">
        <v>218</v>
      </c>
      <c r="S45" t="b">
        <f>FALSE()</f>
        <v>0</v>
      </c>
      <c r="T45" t="s">
        <v>202</v>
      </c>
      <c r="W45" t="s">
        <v>253</v>
      </c>
      <c r="X45" t="s">
        <v>153</v>
      </c>
      <c r="Z45" t="s">
        <v>251</v>
      </c>
      <c r="AD45" t="s">
        <v>28</v>
      </c>
    </row>
    <row r="46" spans="1:30" x14ac:dyDescent="0.2">
      <c r="A46" t="s">
        <v>254</v>
      </c>
      <c r="B46" t="s">
        <v>255</v>
      </c>
      <c r="C46">
        <v>8562095</v>
      </c>
      <c r="D46">
        <v>7757781</v>
      </c>
      <c r="E46">
        <v>1799</v>
      </c>
      <c r="H46" s="3" t="s">
        <v>2069</v>
      </c>
      <c r="J46" s="3" t="s">
        <v>2084</v>
      </c>
      <c r="K46" t="s">
        <v>257</v>
      </c>
      <c r="L46" t="s">
        <v>176</v>
      </c>
      <c r="M46" t="s">
        <v>177</v>
      </c>
      <c r="R46" t="s">
        <v>218</v>
      </c>
      <c r="S46" t="b">
        <f>FALSE()</f>
        <v>0</v>
      </c>
      <c r="T46" t="s">
        <v>202</v>
      </c>
      <c r="W46" t="s">
        <v>258</v>
      </c>
      <c r="X46" t="s">
        <v>153</v>
      </c>
      <c r="Z46" t="s">
        <v>256</v>
      </c>
      <c r="AD46" t="s">
        <v>28</v>
      </c>
    </row>
    <row r="47" spans="1:30" x14ac:dyDescent="0.2">
      <c r="A47" t="s">
        <v>259</v>
      </c>
      <c r="B47" t="s">
        <v>260</v>
      </c>
      <c r="C47">
        <v>3567954</v>
      </c>
      <c r="D47">
        <v>2977704</v>
      </c>
      <c r="E47">
        <v>1380</v>
      </c>
      <c r="H47" s="3" t="s">
        <v>2069</v>
      </c>
      <c r="J47" s="3" t="s">
        <v>2084</v>
      </c>
      <c r="K47" t="s">
        <v>109</v>
      </c>
      <c r="L47" t="s">
        <v>176</v>
      </c>
      <c r="M47" t="s">
        <v>177</v>
      </c>
      <c r="R47" t="s">
        <v>218</v>
      </c>
      <c r="S47" t="b">
        <f>FALSE()</f>
        <v>0</v>
      </c>
      <c r="T47" t="s">
        <v>202</v>
      </c>
      <c r="W47" t="s">
        <v>47</v>
      </c>
      <c r="X47" t="s">
        <v>153</v>
      </c>
      <c r="Z47" t="s">
        <v>261</v>
      </c>
      <c r="AD47" t="s">
        <v>28</v>
      </c>
    </row>
    <row r="48" spans="1:30" x14ac:dyDescent="0.2">
      <c r="A48" t="s">
        <v>262</v>
      </c>
      <c r="B48" t="s">
        <v>263</v>
      </c>
      <c r="C48">
        <v>10729728</v>
      </c>
      <c r="D48">
        <v>9911422</v>
      </c>
      <c r="E48">
        <v>5059</v>
      </c>
      <c r="H48" s="3" t="s">
        <v>2069</v>
      </c>
      <c r="J48" s="3" t="s">
        <v>2084</v>
      </c>
      <c r="K48" t="s">
        <v>265</v>
      </c>
      <c r="L48" t="s">
        <v>176</v>
      </c>
      <c r="M48" t="s">
        <v>177</v>
      </c>
      <c r="R48" t="s">
        <v>218</v>
      </c>
      <c r="S48" t="b">
        <f>FALSE()</f>
        <v>0</v>
      </c>
      <c r="T48" t="s">
        <v>202</v>
      </c>
      <c r="W48" t="s">
        <v>266</v>
      </c>
      <c r="X48" t="s">
        <v>153</v>
      </c>
      <c r="Z48" t="s">
        <v>264</v>
      </c>
      <c r="AD48" t="s">
        <v>28</v>
      </c>
    </row>
    <row r="49" spans="1:30" x14ac:dyDescent="0.2">
      <c r="A49" t="s">
        <v>267</v>
      </c>
      <c r="B49" t="s">
        <v>268</v>
      </c>
      <c r="C49">
        <v>12694537</v>
      </c>
      <c r="D49">
        <v>12171104</v>
      </c>
      <c r="E49">
        <v>982</v>
      </c>
      <c r="H49" s="3" t="s">
        <v>2069</v>
      </c>
      <c r="J49" s="3" t="s">
        <v>2084</v>
      </c>
      <c r="K49" t="s">
        <v>270</v>
      </c>
      <c r="L49" t="s">
        <v>176</v>
      </c>
      <c r="M49" t="s">
        <v>177</v>
      </c>
      <c r="R49" t="s">
        <v>218</v>
      </c>
      <c r="S49" t="b">
        <f>FALSE()</f>
        <v>0</v>
      </c>
      <c r="T49" t="s">
        <v>202</v>
      </c>
      <c r="V49" t="s">
        <v>170</v>
      </c>
      <c r="W49" t="s">
        <v>271</v>
      </c>
      <c r="X49" t="s">
        <v>153</v>
      </c>
      <c r="Z49" t="s">
        <v>269</v>
      </c>
      <c r="AD49" t="s">
        <v>28</v>
      </c>
    </row>
    <row r="50" spans="1:30" x14ac:dyDescent="0.2">
      <c r="A50" t="s">
        <v>272</v>
      </c>
      <c r="B50" t="s">
        <v>273</v>
      </c>
      <c r="C50">
        <v>11108913</v>
      </c>
      <c r="D50">
        <v>10645462</v>
      </c>
      <c r="E50">
        <v>1223</v>
      </c>
      <c r="H50" s="3" t="s">
        <v>372</v>
      </c>
      <c r="J50" s="3" t="s">
        <v>2084</v>
      </c>
      <c r="K50" t="s">
        <v>275</v>
      </c>
      <c r="R50" t="s">
        <v>218</v>
      </c>
      <c r="S50" t="b">
        <f>FALSE()</f>
        <v>0</v>
      </c>
      <c r="T50" t="s">
        <v>202</v>
      </c>
      <c r="W50" t="s">
        <v>276</v>
      </c>
      <c r="X50" t="s">
        <v>153</v>
      </c>
      <c r="Z50" t="s">
        <v>274</v>
      </c>
      <c r="AD50" t="s">
        <v>28</v>
      </c>
    </row>
    <row r="51" spans="1:30" x14ac:dyDescent="0.2">
      <c r="A51" t="s">
        <v>277</v>
      </c>
      <c r="B51" t="s">
        <v>278</v>
      </c>
      <c r="C51">
        <v>10548488</v>
      </c>
      <c r="D51">
        <v>9733137</v>
      </c>
      <c r="E51">
        <v>1496</v>
      </c>
      <c r="H51" s="3" t="s">
        <v>2068</v>
      </c>
      <c r="J51" s="3" t="s">
        <v>2084</v>
      </c>
      <c r="K51" t="s">
        <v>104</v>
      </c>
      <c r="R51" t="s">
        <v>218</v>
      </c>
      <c r="S51" t="b">
        <f>FALSE()</f>
        <v>0</v>
      </c>
      <c r="T51" t="s">
        <v>202</v>
      </c>
      <c r="W51" t="s">
        <v>280</v>
      </c>
      <c r="X51" t="s">
        <v>153</v>
      </c>
      <c r="Z51" t="s">
        <v>279</v>
      </c>
      <c r="AB51" t="s">
        <v>53</v>
      </c>
      <c r="AC51">
        <v>1</v>
      </c>
      <c r="AD51" t="s">
        <v>28</v>
      </c>
    </row>
    <row r="52" spans="1:30" x14ac:dyDescent="0.2">
      <c r="A52" t="s">
        <v>281</v>
      </c>
      <c r="B52" t="s">
        <v>282</v>
      </c>
      <c r="C52">
        <v>63568721</v>
      </c>
      <c r="D52">
        <v>410412</v>
      </c>
      <c r="E52">
        <v>30387</v>
      </c>
      <c r="H52" s="3" t="s">
        <v>2067</v>
      </c>
      <c r="J52" t="s">
        <v>285</v>
      </c>
      <c r="K52" t="s">
        <v>284</v>
      </c>
      <c r="R52" t="s">
        <v>218</v>
      </c>
      <c r="S52" t="b">
        <f>FALSE()</f>
        <v>0</v>
      </c>
      <c r="T52" t="s">
        <v>202</v>
      </c>
      <c r="W52" t="s">
        <v>286</v>
      </c>
      <c r="X52" t="s">
        <v>153</v>
      </c>
      <c r="Z52" t="s">
        <v>283</v>
      </c>
      <c r="AC52">
        <v>1</v>
      </c>
      <c r="AD52" t="s">
        <v>28</v>
      </c>
    </row>
    <row r="53" spans="1:30" x14ac:dyDescent="0.2">
      <c r="A53" t="s">
        <v>287</v>
      </c>
      <c r="B53" t="s">
        <v>288</v>
      </c>
      <c r="C53">
        <v>10577681</v>
      </c>
      <c r="D53">
        <v>8643576</v>
      </c>
      <c r="E53">
        <v>2432</v>
      </c>
      <c r="H53" s="3" t="s">
        <v>2068</v>
      </c>
      <c r="J53" s="3" t="s">
        <v>2084</v>
      </c>
      <c r="K53" t="s">
        <v>290</v>
      </c>
      <c r="R53" t="s">
        <v>218</v>
      </c>
      <c r="S53" t="b">
        <f>FALSE()</f>
        <v>0</v>
      </c>
      <c r="T53" t="s">
        <v>202</v>
      </c>
      <c r="W53" t="s">
        <v>291</v>
      </c>
      <c r="X53" t="s">
        <v>153</v>
      </c>
      <c r="Z53" t="s">
        <v>289</v>
      </c>
      <c r="AB53" t="s">
        <v>53</v>
      </c>
      <c r="AC53">
        <v>2</v>
      </c>
      <c r="AD53" t="s">
        <v>28</v>
      </c>
    </row>
    <row r="54" spans="1:30" x14ac:dyDescent="0.2">
      <c r="A54" t="s">
        <v>292</v>
      </c>
      <c r="B54" t="s">
        <v>293</v>
      </c>
      <c r="C54">
        <v>27925922</v>
      </c>
      <c r="D54">
        <v>108620</v>
      </c>
      <c r="E54">
        <v>11632</v>
      </c>
      <c r="H54" s="3" t="s">
        <v>2067</v>
      </c>
      <c r="J54" t="s">
        <v>295</v>
      </c>
      <c r="K54" t="s">
        <v>65</v>
      </c>
      <c r="R54" t="s">
        <v>218</v>
      </c>
      <c r="S54" t="b">
        <f>FALSE()</f>
        <v>0</v>
      </c>
      <c r="T54" t="s">
        <v>202</v>
      </c>
      <c r="W54" t="s">
        <v>296</v>
      </c>
      <c r="X54" t="s">
        <v>153</v>
      </c>
      <c r="Z54" t="s">
        <v>294</v>
      </c>
      <c r="AC54">
        <v>2</v>
      </c>
      <c r="AD54" t="s">
        <v>28</v>
      </c>
    </row>
    <row r="55" spans="1:30" x14ac:dyDescent="0.2">
      <c r="A55" t="s">
        <v>297</v>
      </c>
      <c r="B55" t="s">
        <v>298</v>
      </c>
      <c r="C55">
        <v>12364167</v>
      </c>
      <c r="D55">
        <v>11888030</v>
      </c>
      <c r="E55">
        <v>1065</v>
      </c>
      <c r="H55" s="3" t="s">
        <v>2068</v>
      </c>
      <c r="J55" s="3" t="s">
        <v>2084</v>
      </c>
      <c r="K55" t="s">
        <v>46</v>
      </c>
      <c r="R55" t="s">
        <v>218</v>
      </c>
      <c r="S55" t="b">
        <f>FALSE()</f>
        <v>0</v>
      </c>
      <c r="T55" t="s">
        <v>202</v>
      </c>
      <c r="W55" t="s">
        <v>300</v>
      </c>
      <c r="X55" t="s">
        <v>153</v>
      </c>
      <c r="Z55" t="s">
        <v>299</v>
      </c>
      <c r="AB55" t="s">
        <v>53</v>
      </c>
      <c r="AC55">
        <v>3</v>
      </c>
      <c r="AD55" t="s">
        <v>28</v>
      </c>
    </row>
    <row r="56" spans="1:30" x14ac:dyDescent="0.2">
      <c r="A56" t="s">
        <v>301</v>
      </c>
      <c r="B56" t="s">
        <v>302</v>
      </c>
      <c r="C56">
        <v>27503333</v>
      </c>
      <c r="D56">
        <v>136517</v>
      </c>
      <c r="E56">
        <v>9901</v>
      </c>
      <c r="H56" s="3" t="s">
        <v>2067</v>
      </c>
      <c r="J56" t="s">
        <v>285</v>
      </c>
      <c r="K56" t="s">
        <v>304</v>
      </c>
      <c r="R56" t="s">
        <v>218</v>
      </c>
      <c r="S56" t="b">
        <f>FALSE()</f>
        <v>0</v>
      </c>
      <c r="T56" t="s">
        <v>202</v>
      </c>
      <c r="W56" t="s">
        <v>305</v>
      </c>
      <c r="X56" t="s">
        <v>153</v>
      </c>
      <c r="Z56" t="s">
        <v>303</v>
      </c>
      <c r="AC56">
        <v>3</v>
      </c>
      <c r="AD56" t="s">
        <v>28</v>
      </c>
    </row>
    <row r="57" spans="1:30" x14ac:dyDescent="0.2">
      <c r="A57" t="s">
        <v>306</v>
      </c>
      <c r="B57" t="s">
        <v>307</v>
      </c>
      <c r="C57">
        <v>5364087</v>
      </c>
      <c r="D57">
        <v>5018344</v>
      </c>
      <c r="E57">
        <v>1166</v>
      </c>
      <c r="H57" s="3" t="s">
        <v>2068</v>
      </c>
      <c r="J57" s="3" t="s">
        <v>2084</v>
      </c>
      <c r="K57" t="s">
        <v>309</v>
      </c>
      <c r="R57" t="s">
        <v>218</v>
      </c>
      <c r="S57" t="b">
        <f>FALSE()</f>
        <v>0</v>
      </c>
      <c r="T57" t="s">
        <v>202</v>
      </c>
      <c r="W57" t="s">
        <v>310</v>
      </c>
      <c r="X57" t="s">
        <v>153</v>
      </c>
      <c r="Z57" t="s">
        <v>308</v>
      </c>
      <c r="AB57" t="s">
        <v>53</v>
      </c>
      <c r="AC57">
        <v>4</v>
      </c>
      <c r="AD57" t="s">
        <v>28</v>
      </c>
    </row>
    <row r="58" spans="1:30" x14ac:dyDescent="0.2">
      <c r="A58" t="s">
        <v>311</v>
      </c>
      <c r="B58" t="s">
        <v>312</v>
      </c>
      <c r="C58">
        <v>20291771</v>
      </c>
      <c r="D58">
        <v>265638</v>
      </c>
      <c r="E58">
        <v>10199</v>
      </c>
      <c r="H58" s="3" t="s">
        <v>2067</v>
      </c>
      <c r="J58" t="s">
        <v>295</v>
      </c>
      <c r="K58" t="s">
        <v>314</v>
      </c>
      <c r="R58" t="s">
        <v>218</v>
      </c>
      <c r="S58" t="b">
        <f>FALSE()</f>
        <v>0</v>
      </c>
      <c r="T58" t="s">
        <v>202</v>
      </c>
      <c r="W58" t="s">
        <v>315</v>
      </c>
      <c r="X58" t="s">
        <v>153</v>
      </c>
      <c r="Z58" t="s">
        <v>313</v>
      </c>
      <c r="AC58">
        <v>4</v>
      </c>
      <c r="AD58" t="s">
        <v>28</v>
      </c>
    </row>
    <row r="59" spans="1:30" x14ac:dyDescent="0.2">
      <c r="A59" t="s">
        <v>316</v>
      </c>
      <c r="B59" t="s">
        <v>317</v>
      </c>
      <c r="C59">
        <v>12532134</v>
      </c>
      <c r="D59">
        <v>11494954</v>
      </c>
      <c r="E59">
        <v>1897</v>
      </c>
      <c r="H59" s="3" t="s">
        <v>2068</v>
      </c>
      <c r="J59" s="3" t="s">
        <v>2084</v>
      </c>
      <c r="K59" t="s">
        <v>319</v>
      </c>
      <c r="R59" t="s">
        <v>218</v>
      </c>
      <c r="S59" t="b">
        <f>FALSE()</f>
        <v>0</v>
      </c>
      <c r="T59" t="s">
        <v>202</v>
      </c>
      <c r="W59" t="s">
        <v>320</v>
      </c>
      <c r="X59" t="s">
        <v>153</v>
      </c>
      <c r="Z59" t="s">
        <v>318</v>
      </c>
      <c r="AB59" t="s">
        <v>53</v>
      </c>
      <c r="AC59">
        <v>5</v>
      </c>
      <c r="AD59" t="s">
        <v>28</v>
      </c>
    </row>
    <row r="60" spans="1:30" x14ac:dyDescent="0.2">
      <c r="A60" t="s">
        <v>321</v>
      </c>
      <c r="B60" t="s">
        <v>322</v>
      </c>
      <c r="C60">
        <v>61006949</v>
      </c>
      <c r="D60">
        <v>406364</v>
      </c>
      <c r="E60">
        <v>25420</v>
      </c>
      <c r="H60" s="3" t="s">
        <v>2067</v>
      </c>
      <c r="J60" t="s">
        <v>285</v>
      </c>
      <c r="K60" t="s">
        <v>324</v>
      </c>
      <c r="R60" t="s">
        <v>218</v>
      </c>
      <c r="S60" t="b">
        <f>FALSE()</f>
        <v>0</v>
      </c>
      <c r="T60" t="s">
        <v>202</v>
      </c>
      <c r="W60" t="s">
        <v>325</v>
      </c>
      <c r="X60" t="s">
        <v>153</v>
      </c>
      <c r="Z60" t="s">
        <v>323</v>
      </c>
      <c r="AC60">
        <v>5</v>
      </c>
      <c r="AD60" t="s">
        <v>28</v>
      </c>
    </row>
    <row r="61" spans="1:30" x14ac:dyDescent="0.2">
      <c r="A61" t="s">
        <v>326</v>
      </c>
      <c r="B61" t="s">
        <v>327</v>
      </c>
      <c r="C61">
        <v>18904920</v>
      </c>
      <c r="D61">
        <v>12505470</v>
      </c>
      <c r="E61">
        <v>6329</v>
      </c>
      <c r="H61" s="3" t="s">
        <v>2068</v>
      </c>
      <c r="J61" s="3" t="s">
        <v>2084</v>
      </c>
      <c r="K61" t="s">
        <v>329</v>
      </c>
      <c r="R61" t="s">
        <v>218</v>
      </c>
      <c r="S61" t="b">
        <f>FALSE()</f>
        <v>0</v>
      </c>
      <c r="T61" t="s">
        <v>202</v>
      </c>
      <c r="W61" t="s">
        <v>330</v>
      </c>
      <c r="X61" t="s">
        <v>153</v>
      </c>
      <c r="Z61" t="s">
        <v>328</v>
      </c>
      <c r="AB61" t="s">
        <v>53</v>
      </c>
      <c r="AC61">
        <v>6</v>
      </c>
      <c r="AD61" t="s">
        <v>28</v>
      </c>
    </row>
    <row r="62" spans="1:30" x14ac:dyDescent="0.2">
      <c r="A62" t="s">
        <v>331</v>
      </c>
      <c r="B62" t="s">
        <v>332</v>
      </c>
      <c r="C62">
        <v>20958993</v>
      </c>
      <c r="D62">
        <v>237523</v>
      </c>
      <c r="E62">
        <v>9933</v>
      </c>
      <c r="H62" s="3" t="s">
        <v>2067</v>
      </c>
      <c r="J62" t="s">
        <v>295</v>
      </c>
      <c r="K62" t="s">
        <v>334</v>
      </c>
      <c r="R62" t="s">
        <v>218</v>
      </c>
      <c r="S62" t="b">
        <f>FALSE()</f>
        <v>0</v>
      </c>
      <c r="T62" t="s">
        <v>202</v>
      </c>
      <c r="W62" t="s">
        <v>71</v>
      </c>
      <c r="X62" t="s">
        <v>153</v>
      </c>
      <c r="Z62" t="s">
        <v>333</v>
      </c>
      <c r="AC62">
        <v>6</v>
      </c>
      <c r="AD62" t="s">
        <v>28</v>
      </c>
    </row>
    <row r="63" spans="1:30" x14ac:dyDescent="0.2">
      <c r="A63" t="s">
        <v>335</v>
      </c>
      <c r="B63" t="s">
        <v>336</v>
      </c>
      <c r="C63">
        <v>18985908</v>
      </c>
      <c r="D63">
        <v>88107</v>
      </c>
      <c r="E63">
        <v>7657</v>
      </c>
      <c r="H63" s="3" t="s">
        <v>2067</v>
      </c>
      <c r="J63" t="s">
        <v>285</v>
      </c>
      <c r="K63" t="s">
        <v>76</v>
      </c>
      <c r="R63" t="s">
        <v>218</v>
      </c>
      <c r="S63" t="b">
        <f>FALSE()</f>
        <v>0</v>
      </c>
      <c r="T63" t="s">
        <v>202</v>
      </c>
      <c r="W63" t="s">
        <v>338</v>
      </c>
      <c r="X63" t="s">
        <v>153</v>
      </c>
      <c r="Z63" t="s">
        <v>337</v>
      </c>
      <c r="AC63">
        <v>7</v>
      </c>
      <c r="AD63" t="s">
        <v>28</v>
      </c>
    </row>
    <row r="64" spans="1:30" x14ac:dyDescent="0.2">
      <c r="A64" t="s">
        <v>339</v>
      </c>
      <c r="B64" t="s">
        <v>340</v>
      </c>
      <c r="C64">
        <v>56216667</v>
      </c>
      <c r="D64">
        <v>556078</v>
      </c>
      <c r="E64">
        <v>25086</v>
      </c>
      <c r="H64" s="3" t="s">
        <v>2067</v>
      </c>
      <c r="J64" t="s">
        <v>295</v>
      </c>
      <c r="K64" t="s">
        <v>342</v>
      </c>
      <c r="R64" t="s">
        <v>218</v>
      </c>
      <c r="S64" t="b">
        <f>FALSE()</f>
        <v>0</v>
      </c>
      <c r="T64" t="s">
        <v>202</v>
      </c>
      <c r="W64" t="s">
        <v>343</v>
      </c>
      <c r="X64" t="s">
        <v>153</v>
      </c>
      <c r="Z64" t="s">
        <v>341</v>
      </c>
      <c r="AC64">
        <v>8</v>
      </c>
      <c r="AD64" t="s">
        <v>28</v>
      </c>
    </row>
    <row r="65" spans="1:30" x14ac:dyDescent="0.2">
      <c r="A65" t="s">
        <v>344</v>
      </c>
      <c r="B65" t="s">
        <v>345</v>
      </c>
      <c r="C65">
        <v>12072399</v>
      </c>
      <c r="D65">
        <v>10793358</v>
      </c>
      <c r="E65">
        <v>2187</v>
      </c>
      <c r="H65" s="3" t="s">
        <v>2068</v>
      </c>
      <c r="J65" s="3" t="s">
        <v>2084</v>
      </c>
      <c r="K65" t="s">
        <v>347</v>
      </c>
      <c r="R65" t="s">
        <v>218</v>
      </c>
      <c r="S65" t="b">
        <f>FALSE()</f>
        <v>0</v>
      </c>
      <c r="T65" t="s">
        <v>202</v>
      </c>
      <c r="W65" t="s">
        <v>348</v>
      </c>
      <c r="X65" t="s">
        <v>153</v>
      </c>
      <c r="Z65" t="s">
        <v>346</v>
      </c>
      <c r="AB65" t="s">
        <v>53</v>
      </c>
      <c r="AC65">
        <v>9</v>
      </c>
      <c r="AD65" t="s">
        <v>28</v>
      </c>
    </row>
    <row r="66" spans="1:30" x14ac:dyDescent="0.2">
      <c r="A66" t="s">
        <v>349</v>
      </c>
      <c r="B66" t="s">
        <v>350</v>
      </c>
      <c r="C66">
        <v>21643335</v>
      </c>
      <c r="D66">
        <v>120809</v>
      </c>
      <c r="E66">
        <v>11600</v>
      </c>
      <c r="H66" s="3" t="s">
        <v>2067</v>
      </c>
      <c r="J66" t="s">
        <v>285</v>
      </c>
      <c r="K66" t="s">
        <v>352</v>
      </c>
      <c r="R66" t="s">
        <v>218</v>
      </c>
      <c r="S66" t="b">
        <f>FALSE()</f>
        <v>0</v>
      </c>
      <c r="T66" t="s">
        <v>202</v>
      </c>
      <c r="W66" t="s">
        <v>353</v>
      </c>
      <c r="X66" t="s">
        <v>153</v>
      </c>
      <c r="Z66" t="s">
        <v>351</v>
      </c>
      <c r="AC66">
        <v>9</v>
      </c>
      <c r="AD66" t="s">
        <v>28</v>
      </c>
    </row>
    <row r="67" spans="1:30" x14ac:dyDescent="0.2">
      <c r="A67" t="s">
        <v>354</v>
      </c>
      <c r="B67" t="s">
        <v>355</v>
      </c>
      <c r="C67">
        <v>20577802</v>
      </c>
      <c r="D67">
        <v>559804</v>
      </c>
      <c r="E67">
        <v>8821</v>
      </c>
      <c r="H67" s="3" t="s">
        <v>2067</v>
      </c>
      <c r="J67" t="s">
        <v>295</v>
      </c>
      <c r="K67" t="s">
        <v>357</v>
      </c>
      <c r="R67" t="s">
        <v>218</v>
      </c>
      <c r="S67" t="b">
        <f>FALSE()</f>
        <v>0</v>
      </c>
      <c r="T67" t="s">
        <v>202</v>
      </c>
      <c r="W67" t="s">
        <v>358</v>
      </c>
      <c r="X67" t="s">
        <v>153</v>
      </c>
      <c r="Z67" t="s">
        <v>356</v>
      </c>
      <c r="AC67">
        <v>10</v>
      </c>
      <c r="AD67" t="s">
        <v>28</v>
      </c>
    </row>
    <row r="68" spans="1:30" x14ac:dyDescent="0.2">
      <c r="A68" t="s">
        <v>359</v>
      </c>
      <c r="B68" t="s">
        <v>360</v>
      </c>
      <c r="C68">
        <v>17896553</v>
      </c>
      <c r="D68">
        <v>17597321</v>
      </c>
      <c r="E68">
        <v>800</v>
      </c>
      <c r="H68" s="3" t="s">
        <v>2085</v>
      </c>
      <c r="J68" s="3" t="s">
        <v>2084</v>
      </c>
      <c r="K68" t="s">
        <v>143</v>
      </c>
      <c r="R68" t="s">
        <v>50</v>
      </c>
      <c r="S68" t="b">
        <f>FALSE()</f>
        <v>0</v>
      </c>
      <c r="T68" t="s">
        <v>363</v>
      </c>
      <c r="W68" t="s">
        <v>362</v>
      </c>
      <c r="X68" t="s">
        <v>153</v>
      </c>
      <c r="Z68" t="s">
        <v>361</v>
      </c>
      <c r="AB68" t="s">
        <v>53</v>
      </c>
      <c r="AD68" t="s">
        <v>35</v>
      </c>
    </row>
    <row r="69" spans="1:30" x14ac:dyDescent="0.2">
      <c r="A69" t="s">
        <v>364</v>
      </c>
      <c r="B69" t="s">
        <v>365</v>
      </c>
      <c r="C69">
        <v>15420797</v>
      </c>
      <c r="D69">
        <v>14946070</v>
      </c>
      <c r="E69">
        <v>1221</v>
      </c>
      <c r="H69" s="3" t="s">
        <v>2069</v>
      </c>
      <c r="J69" s="3" t="s">
        <v>2084</v>
      </c>
      <c r="K69" t="s">
        <v>367</v>
      </c>
      <c r="L69" t="s">
        <v>176</v>
      </c>
      <c r="M69" t="s">
        <v>177</v>
      </c>
      <c r="R69" t="s">
        <v>50</v>
      </c>
      <c r="S69" t="b">
        <f>FALSE()</f>
        <v>0</v>
      </c>
      <c r="T69" t="s">
        <v>369</v>
      </c>
      <c r="W69" t="s">
        <v>368</v>
      </c>
      <c r="X69" t="s">
        <v>153</v>
      </c>
      <c r="Z69" t="s">
        <v>366</v>
      </c>
      <c r="AB69" t="s">
        <v>53</v>
      </c>
      <c r="AD69" t="s">
        <v>28</v>
      </c>
    </row>
    <row r="70" spans="1:30" x14ac:dyDescent="0.2">
      <c r="A70" t="s">
        <v>370</v>
      </c>
      <c r="B70" t="s">
        <v>371</v>
      </c>
      <c r="C70">
        <v>1731585</v>
      </c>
      <c r="D70">
        <v>1513206</v>
      </c>
      <c r="E70">
        <v>147</v>
      </c>
      <c r="H70" t="s">
        <v>372</v>
      </c>
      <c r="J70" s="7" t="s">
        <v>2084</v>
      </c>
      <c r="K70" t="s">
        <v>375</v>
      </c>
      <c r="R70" t="s">
        <v>373</v>
      </c>
      <c r="S70" t="b">
        <f>FALSE()</f>
        <v>0</v>
      </c>
      <c r="T70" t="s">
        <v>30</v>
      </c>
      <c r="X70" t="s">
        <v>153</v>
      </c>
      <c r="Z70" t="s">
        <v>374</v>
      </c>
      <c r="AD70" t="s">
        <v>28</v>
      </c>
    </row>
    <row r="71" spans="1:30" x14ac:dyDescent="0.2">
      <c r="A71" t="s">
        <v>376</v>
      </c>
      <c r="B71" t="s">
        <v>377</v>
      </c>
      <c r="C71">
        <v>3865306</v>
      </c>
      <c r="D71">
        <v>3144802</v>
      </c>
      <c r="E71">
        <v>525</v>
      </c>
      <c r="H71" s="3" t="s">
        <v>2068</v>
      </c>
      <c r="J71" s="7" t="s">
        <v>2084</v>
      </c>
      <c r="K71" t="s">
        <v>34</v>
      </c>
      <c r="R71" t="s">
        <v>85</v>
      </c>
      <c r="S71" t="b">
        <f>FALSE()</f>
        <v>0</v>
      </c>
      <c r="T71" t="s">
        <v>30</v>
      </c>
      <c r="W71" t="s">
        <v>379</v>
      </c>
      <c r="X71" t="s">
        <v>153</v>
      </c>
      <c r="Z71" t="s">
        <v>378</v>
      </c>
      <c r="AB71" t="s">
        <v>53</v>
      </c>
      <c r="AC71">
        <v>1</v>
      </c>
      <c r="AD71" t="s">
        <v>28</v>
      </c>
    </row>
    <row r="72" spans="1:30" x14ac:dyDescent="0.2">
      <c r="A72" t="s">
        <v>380</v>
      </c>
      <c r="B72" t="s">
        <v>381</v>
      </c>
      <c r="C72">
        <v>11081608</v>
      </c>
      <c r="D72">
        <v>5244815</v>
      </c>
      <c r="E72">
        <v>3137</v>
      </c>
      <c r="H72" s="3" t="s">
        <v>2067</v>
      </c>
      <c r="J72" t="s">
        <v>285</v>
      </c>
      <c r="K72" t="s">
        <v>132</v>
      </c>
      <c r="R72" t="s">
        <v>85</v>
      </c>
      <c r="S72" t="b">
        <f>FALSE()</f>
        <v>0</v>
      </c>
      <c r="T72" t="s">
        <v>30</v>
      </c>
      <c r="W72" t="s">
        <v>300</v>
      </c>
      <c r="X72" t="s">
        <v>153</v>
      </c>
      <c r="Z72" t="s">
        <v>382</v>
      </c>
      <c r="AC72">
        <v>1</v>
      </c>
      <c r="AD72" t="s">
        <v>28</v>
      </c>
    </row>
    <row r="73" spans="1:30" x14ac:dyDescent="0.2">
      <c r="A73" t="s">
        <v>383</v>
      </c>
      <c r="B73" t="s">
        <v>384</v>
      </c>
      <c r="C73">
        <v>5510196</v>
      </c>
      <c r="D73">
        <v>4433238</v>
      </c>
      <c r="E73">
        <v>891</v>
      </c>
      <c r="H73" s="3" t="s">
        <v>2068</v>
      </c>
      <c r="J73" s="7" t="s">
        <v>2084</v>
      </c>
      <c r="K73" t="s">
        <v>386</v>
      </c>
      <c r="R73" t="s">
        <v>85</v>
      </c>
      <c r="S73" t="b">
        <f>FALSE()</f>
        <v>0</v>
      </c>
      <c r="T73" t="s">
        <v>30</v>
      </c>
      <c r="W73" t="s">
        <v>343</v>
      </c>
      <c r="X73" t="s">
        <v>153</v>
      </c>
      <c r="Z73" t="s">
        <v>385</v>
      </c>
      <c r="AB73" t="s">
        <v>53</v>
      </c>
      <c r="AC73">
        <v>2</v>
      </c>
      <c r="AD73" t="s">
        <v>28</v>
      </c>
    </row>
    <row r="74" spans="1:30" x14ac:dyDescent="0.2">
      <c r="A74" t="s">
        <v>387</v>
      </c>
      <c r="B74" t="s">
        <v>388</v>
      </c>
      <c r="C74">
        <v>18729963</v>
      </c>
      <c r="D74">
        <v>390424</v>
      </c>
      <c r="E74">
        <v>7238</v>
      </c>
      <c r="H74" s="3" t="s">
        <v>2067</v>
      </c>
      <c r="J74" t="s">
        <v>295</v>
      </c>
      <c r="K74" t="s">
        <v>126</v>
      </c>
      <c r="R74" t="s">
        <v>85</v>
      </c>
      <c r="S74" t="b">
        <f>FALSE()</f>
        <v>0</v>
      </c>
      <c r="T74" t="s">
        <v>30</v>
      </c>
      <c r="W74" t="s">
        <v>253</v>
      </c>
      <c r="X74" t="s">
        <v>153</v>
      </c>
      <c r="Z74" t="s">
        <v>389</v>
      </c>
      <c r="AC74">
        <v>2</v>
      </c>
      <c r="AD74" t="s">
        <v>28</v>
      </c>
    </row>
    <row r="75" spans="1:30" x14ac:dyDescent="0.2">
      <c r="A75" t="s">
        <v>390</v>
      </c>
      <c r="B75" t="s">
        <v>391</v>
      </c>
      <c r="C75">
        <v>8990156</v>
      </c>
      <c r="D75">
        <v>8211156</v>
      </c>
      <c r="E75">
        <v>852</v>
      </c>
      <c r="H75" s="3" t="s">
        <v>2068</v>
      </c>
      <c r="J75" s="7" t="s">
        <v>2084</v>
      </c>
      <c r="K75" t="s">
        <v>393</v>
      </c>
      <c r="R75" t="s">
        <v>85</v>
      </c>
      <c r="S75" t="b">
        <f>FALSE()</f>
        <v>0</v>
      </c>
      <c r="T75" t="s">
        <v>30</v>
      </c>
      <c r="W75" t="s">
        <v>394</v>
      </c>
      <c r="X75" t="s">
        <v>153</v>
      </c>
      <c r="Z75" t="s">
        <v>392</v>
      </c>
      <c r="AB75" t="s">
        <v>53</v>
      </c>
      <c r="AC75">
        <v>3</v>
      </c>
      <c r="AD75" t="s">
        <v>28</v>
      </c>
    </row>
    <row r="76" spans="1:30" x14ac:dyDescent="0.2">
      <c r="A76" t="s">
        <v>395</v>
      </c>
      <c r="B76" t="s">
        <v>396</v>
      </c>
      <c r="C76">
        <v>21233200</v>
      </c>
      <c r="D76">
        <v>1063632</v>
      </c>
      <c r="E76">
        <v>7251</v>
      </c>
      <c r="H76" s="3" t="s">
        <v>2067</v>
      </c>
      <c r="J76" t="s">
        <v>285</v>
      </c>
      <c r="K76" t="s">
        <v>92</v>
      </c>
      <c r="R76" t="s">
        <v>85</v>
      </c>
      <c r="S76" t="b">
        <f>FALSE()</f>
        <v>0</v>
      </c>
      <c r="T76" t="s">
        <v>30</v>
      </c>
      <c r="W76" t="s">
        <v>398</v>
      </c>
      <c r="X76" t="s">
        <v>153</v>
      </c>
      <c r="Z76" t="s">
        <v>397</v>
      </c>
      <c r="AC76">
        <v>3</v>
      </c>
      <c r="AD76" t="s">
        <v>28</v>
      </c>
    </row>
    <row r="77" spans="1:30" x14ac:dyDescent="0.2">
      <c r="A77" t="s">
        <v>399</v>
      </c>
      <c r="B77" t="s">
        <v>400</v>
      </c>
      <c r="C77">
        <v>3362129</v>
      </c>
      <c r="D77">
        <v>2724980</v>
      </c>
      <c r="E77">
        <v>439</v>
      </c>
      <c r="H77" s="3" t="s">
        <v>2068</v>
      </c>
      <c r="J77" s="7" t="s">
        <v>2084</v>
      </c>
      <c r="K77" t="s">
        <v>402</v>
      </c>
      <c r="R77" t="s">
        <v>85</v>
      </c>
      <c r="S77" t="b">
        <f>FALSE()</f>
        <v>0</v>
      </c>
      <c r="T77" t="s">
        <v>30</v>
      </c>
      <c r="W77" t="s">
        <v>77</v>
      </c>
      <c r="X77" t="s">
        <v>153</v>
      </c>
      <c r="Z77" t="s">
        <v>401</v>
      </c>
      <c r="AB77" t="s">
        <v>53</v>
      </c>
      <c r="AC77">
        <v>4</v>
      </c>
      <c r="AD77" t="s">
        <v>28</v>
      </c>
    </row>
    <row r="78" spans="1:30" x14ac:dyDescent="0.2">
      <c r="A78" t="s">
        <v>403</v>
      </c>
      <c r="B78" t="s">
        <v>404</v>
      </c>
      <c r="C78">
        <v>13074025</v>
      </c>
      <c r="D78">
        <v>4215943</v>
      </c>
      <c r="E78">
        <v>3671</v>
      </c>
      <c r="H78" s="3" t="s">
        <v>2067</v>
      </c>
      <c r="J78" t="s">
        <v>295</v>
      </c>
      <c r="K78" t="s">
        <v>406</v>
      </c>
      <c r="R78" t="s">
        <v>85</v>
      </c>
      <c r="S78" t="b">
        <f>FALSE()</f>
        <v>0</v>
      </c>
      <c r="T78" t="s">
        <v>30</v>
      </c>
      <c r="W78" t="s">
        <v>266</v>
      </c>
      <c r="X78" t="s">
        <v>153</v>
      </c>
      <c r="Z78" t="s">
        <v>405</v>
      </c>
      <c r="AC78">
        <v>4</v>
      </c>
      <c r="AD78" t="s">
        <v>28</v>
      </c>
    </row>
    <row r="79" spans="1:30" x14ac:dyDescent="0.2">
      <c r="A79" t="s">
        <v>407</v>
      </c>
      <c r="B79" t="s">
        <v>408</v>
      </c>
      <c r="C79">
        <v>9418209</v>
      </c>
      <c r="D79">
        <v>8879210</v>
      </c>
      <c r="E79">
        <v>806</v>
      </c>
      <c r="H79" s="3" t="s">
        <v>2068</v>
      </c>
      <c r="J79" s="7" t="s">
        <v>2084</v>
      </c>
      <c r="K79" t="s">
        <v>149</v>
      </c>
      <c r="R79" t="s">
        <v>85</v>
      </c>
      <c r="S79" t="b">
        <f>FALSE()</f>
        <v>0</v>
      </c>
      <c r="T79" t="s">
        <v>30</v>
      </c>
      <c r="W79" t="s">
        <v>276</v>
      </c>
      <c r="X79" t="s">
        <v>153</v>
      </c>
      <c r="Z79" t="s">
        <v>409</v>
      </c>
      <c r="AB79" t="s">
        <v>53</v>
      </c>
      <c r="AC79">
        <v>5</v>
      </c>
      <c r="AD79" t="s">
        <v>28</v>
      </c>
    </row>
    <row r="80" spans="1:30" x14ac:dyDescent="0.2">
      <c r="A80" t="s">
        <v>410</v>
      </c>
      <c r="B80" t="s">
        <v>411</v>
      </c>
      <c r="C80">
        <v>20478328</v>
      </c>
      <c r="D80">
        <v>1145887</v>
      </c>
      <c r="E80">
        <v>7089</v>
      </c>
      <c r="H80" s="3" t="s">
        <v>2067</v>
      </c>
      <c r="J80" t="s">
        <v>285</v>
      </c>
      <c r="K80" t="s">
        <v>413</v>
      </c>
      <c r="R80" t="s">
        <v>85</v>
      </c>
      <c r="S80" t="b">
        <f>FALSE()</f>
        <v>0</v>
      </c>
      <c r="T80" t="s">
        <v>30</v>
      </c>
      <c r="W80" t="s">
        <v>414</v>
      </c>
      <c r="X80" t="s">
        <v>153</v>
      </c>
      <c r="Z80" t="s">
        <v>412</v>
      </c>
      <c r="AC80">
        <v>5</v>
      </c>
      <c r="AD80" t="s">
        <v>28</v>
      </c>
    </row>
    <row r="81" spans="1:30" x14ac:dyDescent="0.2">
      <c r="A81" t="s">
        <v>415</v>
      </c>
      <c r="B81" t="s">
        <v>416</v>
      </c>
      <c r="C81">
        <v>4474818</v>
      </c>
      <c r="D81">
        <v>3768098</v>
      </c>
      <c r="E81">
        <v>516</v>
      </c>
      <c r="H81" s="3" t="s">
        <v>2068</v>
      </c>
      <c r="J81" s="7" t="s">
        <v>2084</v>
      </c>
      <c r="K81" t="s">
        <v>418</v>
      </c>
      <c r="R81" t="s">
        <v>85</v>
      </c>
      <c r="S81" t="b">
        <f>FALSE()</f>
        <v>0</v>
      </c>
      <c r="T81" t="s">
        <v>30</v>
      </c>
      <c r="W81" t="s">
        <v>88</v>
      </c>
      <c r="X81" t="s">
        <v>153</v>
      </c>
      <c r="Z81" t="s">
        <v>417</v>
      </c>
      <c r="AB81" t="s">
        <v>53</v>
      </c>
      <c r="AC81">
        <v>6</v>
      </c>
      <c r="AD81" t="s">
        <v>28</v>
      </c>
    </row>
    <row r="82" spans="1:30" x14ac:dyDescent="0.2">
      <c r="A82" t="s">
        <v>419</v>
      </c>
      <c r="B82" t="s">
        <v>420</v>
      </c>
      <c r="C82">
        <v>16552663</v>
      </c>
      <c r="D82">
        <v>808661</v>
      </c>
      <c r="E82">
        <v>5794</v>
      </c>
      <c r="H82" s="3" t="s">
        <v>2067</v>
      </c>
      <c r="J82" t="s">
        <v>295</v>
      </c>
      <c r="K82" t="s">
        <v>422</v>
      </c>
      <c r="R82" t="s">
        <v>85</v>
      </c>
      <c r="S82" t="b">
        <f>FALSE()</f>
        <v>0</v>
      </c>
      <c r="T82" t="s">
        <v>30</v>
      </c>
      <c r="W82" t="s">
        <v>280</v>
      </c>
      <c r="X82" t="s">
        <v>153</v>
      </c>
      <c r="Z82" t="s">
        <v>421</v>
      </c>
      <c r="AC82">
        <v>6</v>
      </c>
      <c r="AD82" t="s">
        <v>28</v>
      </c>
    </row>
    <row r="83" spans="1:30" x14ac:dyDescent="0.2">
      <c r="A83" t="s">
        <v>423</v>
      </c>
      <c r="B83" t="s">
        <v>424</v>
      </c>
      <c r="C83">
        <v>16047824</v>
      </c>
      <c r="D83">
        <v>162005.5</v>
      </c>
      <c r="E83">
        <v>5136</v>
      </c>
      <c r="H83" s="3" t="s">
        <v>2067</v>
      </c>
      <c r="J83" t="s">
        <v>285</v>
      </c>
      <c r="K83" t="s">
        <v>426</v>
      </c>
      <c r="R83" t="s">
        <v>85</v>
      </c>
      <c r="S83" t="b">
        <f>FALSE()</f>
        <v>0</v>
      </c>
      <c r="T83" t="s">
        <v>30</v>
      </c>
      <c r="W83" t="s">
        <v>266</v>
      </c>
      <c r="X83" t="s">
        <v>153</v>
      </c>
      <c r="Z83" t="s">
        <v>425</v>
      </c>
      <c r="AC83">
        <v>7</v>
      </c>
      <c r="AD83" t="s">
        <v>28</v>
      </c>
    </row>
    <row r="84" spans="1:30" x14ac:dyDescent="0.2">
      <c r="A84" t="s">
        <v>427</v>
      </c>
      <c r="B84" t="s">
        <v>428</v>
      </c>
      <c r="C84">
        <v>17618592</v>
      </c>
      <c r="D84">
        <v>3403371</v>
      </c>
      <c r="E84">
        <v>5073</v>
      </c>
      <c r="H84" s="3" t="s">
        <v>2067</v>
      </c>
      <c r="J84" t="s">
        <v>295</v>
      </c>
      <c r="K84" t="s">
        <v>430</v>
      </c>
      <c r="R84" t="s">
        <v>85</v>
      </c>
      <c r="S84" t="b">
        <f>FALSE()</f>
        <v>0</v>
      </c>
      <c r="T84" t="s">
        <v>30</v>
      </c>
      <c r="W84" t="s">
        <v>42</v>
      </c>
      <c r="X84" t="s">
        <v>153</v>
      </c>
      <c r="Z84" t="s">
        <v>429</v>
      </c>
      <c r="AC84">
        <v>8</v>
      </c>
      <c r="AD84" t="s">
        <v>28</v>
      </c>
    </row>
    <row r="85" spans="1:30" x14ac:dyDescent="0.2">
      <c r="A85" t="s">
        <v>431</v>
      </c>
      <c r="B85" t="s">
        <v>432</v>
      </c>
      <c r="C85">
        <v>5003257</v>
      </c>
      <c r="D85">
        <v>4419076</v>
      </c>
      <c r="E85">
        <v>474</v>
      </c>
      <c r="H85" s="3" t="s">
        <v>2068</v>
      </c>
      <c r="J85" s="3" t="s">
        <v>2084</v>
      </c>
      <c r="K85" t="s">
        <v>434</v>
      </c>
      <c r="R85" t="s">
        <v>85</v>
      </c>
      <c r="S85" t="b">
        <f>FALSE()</f>
        <v>0</v>
      </c>
      <c r="T85" t="s">
        <v>30</v>
      </c>
      <c r="W85" t="s">
        <v>276</v>
      </c>
      <c r="X85" t="s">
        <v>153</v>
      </c>
      <c r="Z85" t="s">
        <v>433</v>
      </c>
      <c r="AB85" t="s">
        <v>53</v>
      </c>
      <c r="AC85">
        <v>9</v>
      </c>
      <c r="AD85" t="s">
        <v>28</v>
      </c>
    </row>
    <row r="86" spans="1:30" x14ac:dyDescent="0.2">
      <c r="A86" t="s">
        <v>435</v>
      </c>
      <c r="B86" t="s">
        <v>436</v>
      </c>
      <c r="C86">
        <v>19382814</v>
      </c>
      <c r="D86">
        <v>476117</v>
      </c>
      <c r="E86">
        <v>7401</v>
      </c>
      <c r="H86" s="3" t="s">
        <v>2067</v>
      </c>
      <c r="J86" t="s">
        <v>285</v>
      </c>
      <c r="K86" t="s">
        <v>438</v>
      </c>
      <c r="R86" t="s">
        <v>85</v>
      </c>
      <c r="S86" t="b">
        <f>FALSE()</f>
        <v>0</v>
      </c>
      <c r="T86" t="s">
        <v>30</v>
      </c>
      <c r="W86" t="s">
        <v>88</v>
      </c>
      <c r="X86" t="s">
        <v>153</v>
      </c>
      <c r="Z86" t="s">
        <v>437</v>
      </c>
      <c r="AC86">
        <v>9</v>
      </c>
      <c r="AD86" t="s">
        <v>28</v>
      </c>
    </row>
    <row r="87" spans="1:30" x14ac:dyDescent="0.2">
      <c r="A87" t="s">
        <v>439</v>
      </c>
      <c r="B87" t="s">
        <v>440</v>
      </c>
      <c r="C87">
        <v>8987137</v>
      </c>
      <c r="D87">
        <v>7976684</v>
      </c>
      <c r="E87">
        <v>1080</v>
      </c>
      <c r="H87" s="3" t="s">
        <v>2067</v>
      </c>
      <c r="J87" t="s">
        <v>295</v>
      </c>
      <c r="K87" t="s">
        <v>442</v>
      </c>
      <c r="R87" t="s">
        <v>85</v>
      </c>
      <c r="S87" t="b">
        <f>FALSE()</f>
        <v>0</v>
      </c>
      <c r="T87" t="s">
        <v>30</v>
      </c>
      <c r="W87" t="s">
        <v>253</v>
      </c>
      <c r="X87" t="s">
        <v>153</v>
      </c>
      <c r="Z87" t="s">
        <v>441</v>
      </c>
      <c r="AC87">
        <v>10</v>
      </c>
      <c r="AD87" t="s">
        <v>28</v>
      </c>
    </row>
    <row r="88" spans="1:30" x14ac:dyDescent="0.2">
      <c r="A88" t="s">
        <v>443</v>
      </c>
      <c r="B88" t="s">
        <v>444</v>
      </c>
      <c r="C88">
        <v>20867830</v>
      </c>
      <c r="D88">
        <v>20611680</v>
      </c>
      <c r="E88">
        <v>163</v>
      </c>
      <c r="H88" s="3" t="s">
        <v>2085</v>
      </c>
      <c r="J88" s="3" t="s">
        <v>2084</v>
      </c>
      <c r="K88" t="s">
        <v>446</v>
      </c>
      <c r="L88" t="s">
        <v>176</v>
      </c>
      <c r="M88" t="s">
        <v>221</v>
      </c>
      <c r="R88" t="s">
        <v>85</v>
      </c>
      <c r="S88" t="b">
        <f>FALSE()</f>
        <v>0</v>
      </c>
      <c r="T88" t="s">
        <v>30</v>
      </c>
      <c r="W88" t="s">
        <v>266</v>
      </c>
      <c r="X88" t="s">
        <v>153</v>
      </c>
      <c r="Z88" t="s">
        <v>445</v>
      </c>
      <c r="AD88" t="s">
        <v>35</v>
      </c>
    </row>
    <row r="89" spans="1:30" x14ac:dyDescent="0.2">
      <c r="A89" t="s">
        <v>447</v>
      </c>
      <c r="B89" t="s">
        <v>448</v>
      </c>
      <c r="C89">
        <v>20006684</v>
      </c>
      <c r="D89">
        <v>19805953</v>
      </c>
      <c r="E89">
        <v>466</v>
      </c>
      <c r="H89" s="3" t="s">
        <v>2085</v>
      </c>
      <c r="J89" s="3" t="s">
        <v>2084</v>
      </c>
      <c r="K89" t="s">
        <v>450</v>
      </c>
      <c r="L89" t="s">
        <v>176</v>
      </c>
      <c r="M89" t="s">
        <v>227</v>
      </c>
      <c r="R89" t="s">
        <v>85</v>
      </c>
      <c r="S89" t="b">
        <f>FALSE()</f>
        <v>0</v>
      </c>
      <c r="T89" t="s">
        <v>30</v>
      </c>
      <c r="W89" t="s">
        <v>60</v>
      </c>
      <c r="X89" t="s">
        <v>153</v>
      </c>
      <c r="Z89" t="s">
        <v>449</v>
      </c>
      <c r="AD89" t="s">
        <v>35</v>
      </c>
    </row>
    <row r="90" spans="1:30" x14ac:dyDescent="0.2">
      <c r="A90" t="s">
        <v>451</v>
      </c>
      <c r="B90" t="s">
        <v>452</v>
      </c>
      <c r="C90">
        <v>22195564</v>
      </c>
      <c r="D90">
        <v>21943498</v>
      </c>
      <c r="E90">
        <v>683</v>
      </c>
      <c r="H90" s="3" t="s">
        <v>2085</v>
      </c>
      <c r="J90" s="3" t="s">
        <v>2084</v>
      </c>
      <c r="K90" t="s">
        <v>454</v>
      </c>
      <c r="R90" t="s">
        <v>85</v>
      </c>
      <c r="S90" t="b">
        <f>FALSE()</f>
        <v>0</v>
      </c>
      <c r="T90" t="s">
        <v>30</v>
      </c>
      <c r="W90" t="s">
        <v>394</v>
      </c>
      <c r="X90" t="s">
        <v>153</v>
      </c>
      <c r="Z90" t="s">
        <v>453</v>
      </c>
      <c r="AD90" t="s">
        <v>35</v>
      </c>
    </row>
    <row r="91" spans="1:30" x14ac:dyDescent="0.2">
      <c r="A91" t="s">
        <v>455</v>
      </c>
      <c r="B91" t="s">
        <v>456</v>
      </c>
      <c r="C91">
        <v>20598314</v>
      </c>
      <c r="D91">
        <v>20427516</v>
      </c>
      <c r="E91">
        <v>792</v>
      </c>
      <c r="H91" s="3" t="s">
        <v>2085</v>
      </c>
      <c r="J91" s="3" t="s">
        <v>2084</v>
      </c>
      <c r="K91" t="s">
        <v>27</v>
      </c>
      <c r="R91" t="s">
        <v>85</v>
      </c>
      <c r="S91" t="b">
        <f>FALSE()</f>
        <v>0</v>
      </c>
      <c r="T91" t="s">
        <v>30</v>
      </c>
      <c r="W91" t="s">
        <v>244</v>
      </c>
      <c r="X91" t="s">
        <v>153</v>
      </c>
      <c r="Z91" t="s">
        <v>457</v>
      </c>
      <c r="AD91" t="s">
        <v>35</v>
      </c>
    </row>
    <row r="92" spans="1:30" x14ac:dyDescent="0.2">
      <c r="A92" t="s">
        <v>458</v>
      </c>
      <c r="B92" t="s">
        <v>459</v>
      </c>
      <c r="C92">
        <v>18034682</v>
      </c>
      <c r="D92">
        <v>17861514</v>
      </c>
      <c r="E92">
        <v>507</v>
      </c>
      <c r="H92" s="3" t="s">
        <v>2085</v>
      </c>
      <c r="J92" s="3" t="s">
        <v>2084</v>
      </c>
      <c r="K92" t="s">
        <v>461</v>
      </c>
      <c r="R92" t="s">
        <v>85</v>
      </c>
      <c r="S92" t="b">
        <f>FALSE()</f>
        <v>0</v>
      </c>
      <c r="T92" t="s">
        <v>30</v>
      </c>
      <c r="W92" t="s">
        <v>462</v>
      </c>
      <c r="X92" t="s">
        <v>153</v>
      </c>
      <c r="Z92" t="s">
        <v>460</v>
      </c>
      <c r="AD92" t="s">
        <v>35</v>
      </c>
    </row>
    <row r="93" spans="1:30" x14ac:dyDescent="0.2">
      <c r="A93" t="s">
        <v>463</v>
      </c>
      <c r="B93" t="s">
        <v>464</v>
      </c>
      <c r="C93">
        <v>25011543</v>
      </c>
      <c r="D93">
        <v>24711086</v>
      </c>
      <c r="E93">
        <v>871</v>
      </c>
      <c r="H93" s="3" t="s">
        <v>2085</v>
      </c>
      <c r="J93" s="3" t="s">
        <v>2084</v>
      </c>
      <c r="K93" t="s">
        <v>466</v>
      </c>
      <c r="R93" t="s">
        <v>85</v>
      </c>
      <c r="S93" t="b">
        <f>FALSE()</f>
        <v>0</v>
      </c>
      <c r="T93" t="s">
        <v>202</v>
      </c>
      <c r="V93" t="s">
        <v>170</v>
      </c>
      <c r="W93" t="s">
        <v>348</v>
      </c>
      <c r="X93" t="s">
        <v>153</v>
      </c>
      <c r="Z93" t="s">
        <v>465</v>
      </c>
      <c r="AD93" t="s">
        <v>35</v>
      </c>
    </row>
    <row r="94" spans="1:30" x14ac:dyDescent="0.2">
      <c r="A94" t="s">
        <v>467</v>
      </c>
      <c r="B94" t="s">
        <v>468</v>
      </c>
      <c r="C94">
        <v>3378979</v>
      </c>
      <c r="D94">
        <v>2867809</v>
      </c>
      <c r="E94">
        <v>499</v>
      </c>
      <c r="H94" s="3" t="s">
        <v>2069</v>
      </c>
      <c r="J94" s="3" t="s">
        <v>2084</v>
      </c>
      <c r="K94" t="s">
        <v>470</v>
      </c>
      <c r="L94" t="s">
        <v>176</v>
      </c>
      <c r="M94" t="s">
        <v>221</v>
      </c>
      <c r="R94" t="s">
        <v>85</v>
      </c>
      <c r="S94" t="b">
        <f>FALSE()</f>
        <v>0</v>
      </c>
      <c r="T94" t="s">
        <v>30</v>
      </c>
      <c r="W94" t="s">
        <v>330</v>
      </c>
      <c r="X94" t="s">
        <v>153</v>
      </c>
      <c r="Z94" t="s">
        <v>469</v>
      </c>
      <c r="AD94" t="s">
        <v>28</v>
      </c>
    </row>
    <row r="95" spans="1:30" x14ac:dyDescent="0.2">
      <c r="A95" t="s">
        <v>471</v>
      </c>
      <c r="B95" t="s">
        <v>472</v>
      </c>
      <c r="C95">
        <v>9565686</v>
      </c>
      <c r="D95">
        <v>8750490</v>
      </c>
      <c r="E95">
        <v>835</v>
      </c>
      <c r="H95" s="3" t="s">
        <v>2069</v>
      </c>
      <c r="J95" s="3" t="s">
        <v>2084</v>
      </c>
      <c r="K95" t="s">
        <v>474</v>
      </c>
      <c r="L95" t="s">
        <v>176</v>
      </c>
      <c r="M95" t="s">
        <v>227</v>
      </c>
      <c r="R95" t="s">
        <v>85</v>
      </c>
      <c r="S95" t="b">
        <f>FALSE()</f>
        <v>0</v>
      </c>
      <c r="T95" t="s">
        <v>30</v>
      </c>
      <c r="W95" t="s">
        <v>276</v>
      </c>
      <c r="X95" t="s">
        <v>153</v>
      </c>
      <c r="Z95" t="s">
        <v>473</v>
      </c>
      <c r="AD95" t="s">
        <v>28</v>
      </c>
    </row>
    <row r="96" spans="1:30" x14ac:dyDescent="0.2">
      <c r="A96" t="s">
        <v>475</v>
      </c>
      <c r="B96" t="s">
        <v>476</v>
      </c>
      <c r="C96">
        <v>7325092</v>
      </c>
      <c r="D96">
        <v>6791060</v>
      </c>
      <c r="E96">
        <v>2357</v>
      </c>
      <c r="H96" s="3" t="s">
        <v>2069</v>
      </c>
      <c r="J96" s="3" t="s">
        <v>2084</v>
      </c>
      <c r="K96" t="s">
        <v>478</v>
      </c>
      <c r="L96" t="s">
        <v>176</v>
      </c>
      <c r="M96" t="s">
        <v>177</v>
      </c>
      <c r="R96" t="s">
        <v>85</v>
      </c>
      <c r="S96" t="b">
        <f>FALSE()</f>
        <v>0</v>
      </c>
      <c r="T96" t="s">
        <v>30</v>
      </c>
      <c r="W96" t="s">
        <v>379</v>
      </c>
      <c r="X96" t="s">
        <v>153</v>
      </c>
      <c r="Z96" t="s">
        <v>477</v>
      </c>
      <c r="AD96" t="s">
        <v>28</v>
      </c>
    </row>
    <row r="97" spans="1:30" x14ac:dyDescent="0.2">
      <c r="A97" t="s">
        <v>479</v>
      </c>
      <c r="B97" t="s">
        <v>480</v>
      </c>
      <c r="C97">
        <v>5204592</v>
      </c>
      <c r="D97">
        <v>4589243</v>
      </c>
      <c r="E97">
        <v>1449</v>
      </c>
      <c r="H97" s="3" t="s">
        <v>2069</v>
      </c>
      <c r="J97" s="3" t="s">
        <v>2084</v>
      </c>
      <c r="K97" t="s">
        <v>482</v>
      </c>
      <c r="L97" t="s">
        <v>176</v>
      </c>
      <c r="M97" t="s">
        <v>177</v>
      </c>
      <c r="R97" t="s">
        <v>85</v>
      </c>
      <c r="S97" t="b">
        <f>FALSE()</f>
        <v>0</v>
      </c>
      <c r="T97" t="s">
        <v>30</v>
      </c>
      <c r="W97" t="s">
        <v>315</v>
      </c>
      <c r="X97" t="s">
        <v>153</v>
      </c>
      <c r="Z97" t="s">
        <v>481</v>
      </c>
      <c r="AD97" t="s">
        <v>28</v>
      </c>
    </row>
    <row r="98" spans="1:30" x14ac:dyDescent="0.2">
      <c r="A98" t="s">
        <v>483</v>
      </c>
      <c r="B98" t="s">
        <v>484</v>
      </c>
      <c r="C98">
        <v>5940753</v>
      </c>
      <c r="D98">
        <v>5399975</v>
      </c>
      <c r="E98">
        <v>5570</v>
      </c>
      <c r="H98" s="3" t="s">
        <v>2069</v>
      </c>
      <c r="J98" s="3" t="s">
        <v>2084</v>
      </c>
      <c r="K98" t="s">
        <v>486</v>
      </c>
      <c r="L98" t="s">
        <v>176</v>
      </c>
      <c r="M98" t="s">
        <v>177</v>
      </c>
      <c r="R98" t="s">
        <v>85</v>
      </c>
      <c r="S98" t="b">
        <f>FALSE()</f>
        <v>0</v>
      </c>
      <c r="T98" t="s">
        <v>30</v>
      </c>
      <c r="W98" t="s">
        <v>414</v>
      </c>
      <c r="X98" t="s">
        <v>153</v>
      </c>
      <c r="Z98" t="s">
        <v>485</v>
      </c>
      <c r="AD98" t="s">
        <v>28</v>
      </c>
    </row>
    <row r="99" spans="1:30" x14ac:dyDescent="0.2">
      <c r="A99" t="s">
        <v>487</v>
      </c>
      <c r="B99" t="s">
        <v>488</v>
      </c>
      <c r="C99">
        <v>17319034</v>
      </c>
      <c r="D99">
        <v>14964598</v>
      </c>
      <c r="E99">
        <v>3353</v>
      </c>
      <c r="H99" s="3" t="s">
        <v>2069</v>
      </c>
      <c r="J99" s="3" t="s">
        <v>2084</v>
      </c>
      <c r="K99" t="s">
        <v>490</v>
      </c>
      <c r="L99" t="s">
        <v>176</v>
      </c>
      <c r="M99" t="s">
        <v>177</v>
      </c>
      <c r="R99" t="s">
        <v>85</v>
      </c>
      <c r="S99" t="b">
        <f>FALSE()</f>
        <v>0</v>
      </c>
      <c r="T99" t="s">
        <v>202</v>
      </c>
      <c r="V99" t="s">
        <v>170</v>
      </c>
      <c r="W99" t="s">
        <v>88</v>
      </c>
      <c r="X99" t="s">
        <v>153</v>
      </c>
      <c r="Z99" t="s">
        <v>489</v>
      </c>
      <c r="AD99" t="s">
        <v>28</v>
      </c>
    </row>
    <row r="100" spans="1:30" x14ac:dyDescent="0.2">
      <c r="A100" t="s">
        <v>491</v>
      </c>
      <c r="B100" t="s">
        <v>492</v>
      </c>
      <c r="C100">
        <v>7803267</v>
      </c>
      <c r="D100">
        <v>7185311</v>
      </c>
      <c r="E100">
        <v>645</v>
      </c>
      <c r="H100" s="3" t="s">
        <v>372</v>
      </c>
      <c r="J100" s="3" t="s">
        <v>2084</v>
      </c>
      <c r="K100" t="s">
        <v>494</v>
      </c>
      <c r="R100" t="s">
        <v>85</v>
      </c>
      <c r="S100" t="b">
        <f>FALSE()</f>
        <v>0</v>
      </c>
      <c r="T100" t="s">
        <v>30</v>
      </c>
      <c r="W100" t="s">
        <v>280</v>
      </c>
      <c r="X100" t="s">
        <v>153</v>
      </c>
      <c r="Z100" t="s">
        <v>493</v>
      </c>
      <c r="AD100" t="s">
        <v>28</v>
      </c>
    </row>
    <row r="101" spans="1:30" x14ac:dyDescent="0.2">
      <c r="A101" t="s">
        <v>495</v>
      </c>
      <c r="B101" t="s">
        <v>496</v>
      </c>
      <c r="C101">
        <v>22829843</v>
      </c>
      <c r="D101">
        <v>39147</v>
      </c>
      <c r="E101">
        <v>13163</v>
      </c>
      <c r="H101" s="3" t="s">
        <v>2067</v>
      </c>
      <c r="J101" t="s">
        <v>285</v>
      </c>
      <c r="K101" t="s">
        <v>500</v>
      </c>
      <c r="R101" t="s">
        <v>498</v>
      </c>
      <c r="T101" t="s">
        <v>503</v>
      </c>
      <c r="W101" t="s">
        <v>502</v>
      </c>
      <c r="X101" t="s">
        <v>497</v>
      </c>
      <c r="Z101" t="s">
        <v>499</v>
      </c>
      <c r="AC101">
        <v>10</v>
      </c>
      <c r="AD101" t="s">
        <v>501</v>
      </c>
    </row>
    <row r="102" spans="1:30" x14ac:dyDescent="0.2">
      <c r="A102" t="s">
        <v>504</v>
      </c>
      <c r="B102" t="s">
        <v>505</v>
      </c>
      <c r="C102">
        <v>1916577</v>
      </c>
      <c r="D102">
        <v>412844</v>
      </c>
      <c r="E102">
        <v>1560</v>
      </c>
      <c r="H102" s="3" t="s">
        <v>2068</v>
      </c>
      <c r="J102" s="3" t="s">
        <v>2084</v>
      </c>
      <c r="K102" t="s">
        <v>507</v>
      </c>
      <c r="R102" t="s">
        <v>498</v>
      </c>
      <c r="T102" t="s">
        <v>503</v>
      </c>
      <c r="W102" t="s">
        <v>379</v>
      </c>
      <c r="X102" t="s">
        <v>497</v>
      </c>
      <c r="Z102" t="s">
        <v>506</v>
      </c>
      <c r="AB102" t="s">
        <v>53</v>
      </c>
      <c r="AC102">
        <v>7</v>
      </c>
      <c r="AD102" t="s">
        <v>501</v>
      </c>
    </row>
    <row r="103" spans="1:30" x14ac:dyDescent="0.2">
      <c r="A103" t="s">
        <v>508</v>
      </c>
      <c r="B103" t="s">
        <v>509</v>
      </c>
      <c r="C103">
        <v>1603876</v>
      </c>
      <c r="D103">
        <v>591925</v>
      </c>
      <c r="E103">
        <v>1434</v>
      </c>
      <c r="H103" s="3" t="s">
        <v>2068</v>
      </c>
      <c r="J103" s="3" t="s">
        <v>2084</v>
      </c>
      <c r="K103" t="s">
        <v>511</v>
      </c>
      <c r="R103" t="s">
        <v>498</v>
      </c>
      <c r="T103" t="s">
        <v>503</v>
      </c>
      <c r="W103" t="s">
        <v>300</v>
      </c>
      <c r="X103" t="s">
        <v>497</v>
      </c>
      <c r="Z103" t="s">
        <v>510</v>
      </c>
      <c r="AB103" t="s">
        <v>53</v>
      </c>
      <c r="AC103">
        <v>10</v>
      </c>
      <c r="AD103" t="s">
        <v>501</v>
      </c>
    </row>
    <row r="104" spans="1:30" x14ac:dyDescent="0.2">
      <c r="A104" t="s">
        <v>512</v>
      </c>
      <c r="B104" t="s">
        <v>513</v>
      </c>
      <c r="C104">
        <v>30759260</v>
      </c>
      <c r="D104">
        <v>30455392</v>
      </c>
      <c r="E104">
        <v>818</v>
      </c>
      <c r="H104" s="3" t="s">
        <v>2085</v>
      </c>
      <c r="J104" s="3" t="s">
        <v>2084</v>
      </c>
      <c r="K104" t="s">
        <v>515</v>
      </c>
      <c r="L104" t="s">
        <v>176</v>
      </c>
      <c r="M104" t="s">
        <v>221</v>
      </c>
      <c r="R104" t="s">
        <v>498</v>
      </c>
      <c r="T104" t="s">
        <v>503</v>
      </c>
      <c r="W104" t="s">
        <v>194</v>
      </c>
      <c r="X104" t="s">
        <v>497</v>
      </c>
      <c r="Z104" t="s">
        <v>514</v>
      </c>
      <c r="AD104" t="s">
        <v>516</v>
      </c>
    </row>
    <row r="105" spans="1:30" x14ac:dyDescent="0.2">
      <c r="A105" t="s">
        <v>517</v>
      </c>
      <c r="B105" t="s">
        <v>518</v>
      </c>
      <c r="C105">
        <v>2242493</v>
      </c>
      <c r="D105">
        <v>1513858</v>
      </c>
      <c r="E105">
        <v>815</v>
      </c>
      <c r="H105" s="3" t="s">
        <v>2069</v>
      </c>
      <c r="J105" s="3" t="s">
        <v>2084</v>
      </c>
      <c r="K105" t="s">
        <v>520</v>
      </c>
      <c r="L105" t="s">
        <v>176</v>
      </c>
      <c r="M105" t="s">
        <v>177</v>
      </c>
      <c r="R105" t="s">
        <v>498</v>
      </c>
      <c r="T105" t="s">
        <v>503</v>
      </c>
      <c r="W105" t="s">
        <v>521</v>
      </c>
      <c r="X105" t="s">
        <v>497</v>
      </c>
      <c r="Z105" t="s">
        <v>519</v>
      </c>
      <c r="AD105" t="s">
        <v>501</v>
      </c>
    </row>
    <row r="106" spans="1:30" x14ac:dyDescent="0.2">
      <c r="A106" t="s">
        <v>522</v>
      </c>
      <c r="B106" t="s">
        <v>523</v>
      </c>
      <c r="C106">
        <v>6105462</v>
      </c>
      <c r="D106">
        <v>3043128</v>
      </c>
      <c r="E106">
        <v>3312</v>
      </c>
      <c r="H106" s="3" t="s">
        <v>2067</v>
      </c>
      <c r="J106" t="s">
        <v>295</v>
      </c>
      <c r="K106" t="s">
        <v>526</v>
      </c>
      <c r="R106" t="s">
        <v>524</v>
      </c>
      <c r="T106" t="s">
        <v>202</v>
      </c>
      <c r="W106" t="s">
        <v>47</v>
      </c>
      <c r="X106" t="s">
        <v>497</v>
      </c>
      <c r="Z106" t="s">
        <v>525</v>
      </c>
      <c r="AB106" t="s">
        <v>53</v>
      </c>
      <c r="AC106">
        <v>1</v>
      </c>
      <c r="AD106" t="s">
        <v>501</v>
      </c>
    </row>
    <row r="107" spans="1:30" x14ac:dyDescent="0.2">
      <c r="A107" t="s">
        <v>527</v>
      </c>
      <c r="B107" t="s">
        <v>528</v>
      </c>
      <c r="C107">
        <v>18059110</v>
      </c>
      <c r="D107">
        <v>120067</v>
      </c>
      <c r="E107">
        <v>7178</v>
      </c>
      <c r="H107" s="3" t="s">
        <v>2067</v>
      </c>
      <c r="J107" t="s">
        <v>285</v>
      </c>
      <c r="K107" t="s">
        <v>530</v>
      </c>
      <c r="R107" t="s">
        <v>524</v>
      </c>
      <c r="T107" t="s">
        <v>202</v>
      </c>
      <c r="W107" t="s">
        <v>531</v>
      </c>
      <c r="X107" t="s">
        <v>497</v>
      </c>
      <c r="Z107" t="s">
        <v>529</v>
      </c>
      <c r="AB107" t="s">
        <v>53</v>
      </c>
      <c r="AC107">
        <v>2</v>
      </c>
      <c r="AD107" t="s">
        <v>501</v>
      </c>
    </row>
    <row r="108" spans="1:30" x14ac:dyDescent="0.2">
      <c r="A108" t="s">
        <v>532</v>
      </c>
      <c r="B108" t="s">
        <v>533</v>
      </c>
      <c r="C108">
        <v>19023316</v>
      </c>
      <c r="D108">
        <v>52146</v>
      </c>
      <c r="E108">
        <v>11053</v>
      </c>
      <c r="H108" s="3" t="s">
        <v>2067</v>
      </c>
      <c r="J108" t="s">
        <v>295</v>
      </c>
      <c r="K108" t="s">
        <v>482</v>
      </c>
      <c r="R108" t="s">
        <v>524</v>
      </c>
      <c r="T108" t="s">
        <v>202</v>
      </c>
      <c r="W108" t="s">
        <v>535</v>
      </c>
      <c r="X108" t="s">
        <v>497</v>
      </c>
      <c r="Z108" t="s">
        <v>534</v>
      </c>
      <c r="AB108" t="s">
        <v>53</v>
      </c>
      <c r="AC108">
        <v>3</v>
      </c>
      <c r="AD108" t="s">
        <v>501</v>
      </c>
    </row>
    <row r="109" spans="1:30" x14ac:dyDescent="0.2">
      <c r="A109" t="s">
        <v>536</v>
      </c>
      <c r="B109" t="s">
        <v>537</v>
      </c>
      <c r="C109">
        <v>5014379</v>
      </c>
      <c r="D109">
        <v>690204</v>
      </c>
      <c r="E109">
        <v>3888</v>
      </c>
      <c r="H109" s="3" t="s">
        <v>2067</v>
      </c>
      <c r="J109" t="s">
        <v>285</v>
      </c>
      <c r="K109" t="s">
        <v>52</v>
      </c>
      <c r="R109" t="s">
        <v>524</v>
      </c>
      <c r="T109" t="s">
        <v>202</v>
      </c>
      <c r="W109" t="s">
        <v>239</v>
      </c>
      <c r="X109" t="s">
        <v>497</v>
      </c>
      <c r="Z109" t="s">
        <v>538</v>
      </c>
      <c r="AB109" t="s">
        <v>53</v>
      </c>
      <c r="AC109">
        <v>4</v>
      </c>
      <c r="AD109" t="s">
        <v>501</v>
      </c>
    </row>
    <row r="110" spans="1:30" x14ac:dyDescent="0.2">
      <c r="A110" t="s">
        <v>539</v>
      </c>
      <c r="B110" t="s">
        <v>540</v>
      </c>
      <c r="C110">
        <v>21975922</v>
      </c>
      <c r="D110">
        <v>34438</v>
      </c>
      <c r="E110">
        <v>10554</v>
      </c>
      <c r="H110" s="3" t="s">
        <v>2067</v>
      </c>
      <c r="J110" t="s">
        <v>295</v>
      </c>
      <c r="K110" t="s">
        <v>160</v>
      </c>
      <c r="R110" t="s">
        <v>524</v>
      </c>
      <c r="T110" t="s">
        <v>202</v>
      </c>
      <c r="W110" t="s">
        <v>542</v>
      </c>
      <c r="X110" t="s">
        <v>497</v>
      </c>
      <c r="Z110" t="s">
        <v>541</v>
      </c>
      <c r="AB110" t="s">
        <v>53</v>
      </c>
      <c r="AC110">
        <v>5</v>
      </c>
      <c r="AD110" t="s">
        <v>501</v>
      </c>
    </row>
    <row r="111" spans="1:30" x14ac:dyDescent="0.2">
      <c r="A111" t="s">
        <v>543</v>
      </c>
      <c r="B111" t="s">
        <v>544</v>
      </c>
      <c r="C111">
        <v>19750549</v>
      </c>
      <c r="D111">
        <v>118265</v>
      </c>
      <c r="E111">
        <v>12560</v>
      </c>
      <c r="H111" s="3" t="s">
        <v>2067</v>
      </c>
      <c r="J111" t="s">
        <v>295</v>
      </c>
      <c r="K111" t="s">
        <v>546</v>
      </c>
      <c r="R111" t="s">
        <v>498</v>
      </c>
      <c r="T111" t="s">
        <v>503</v>
      </c>
      <c r="W111" t="s">
        <v>547</v>
      </c>
      <c r="X111" t="s">
        <v>497</v>
      </c>
      <c r="Z111" t="s">
        <v>545</v>
      </c>
      <c r="AC111">
        <v>1</v>
      </c>
      <c r="AD111" t="s">
        <v>501</v>
      </c>
    </row>
    <row r="112" spans="1:30" x14ac:dyDescent="0.2">
      <c r="A112" t="s">
        <v>548</v>
      </c>
      <c r="B112" t="s">
        <v>549</v>
      </c>
      <c r="C112">
        <v>27376454</v>
      </c>
      <c r="D112">
        <v>40759</v>
      </c>
      <c r="E112">
        <v>14349</v>
      </c>
      <c r="H112" s="3" t="s">
        <v>2067</v>
      </c>
      <c r="J112" t="s">
        <v>285</v>
      </c>
      <c r="K112" t="s">
        <v>76</v>
      </c>
      <c r="R112" t="s">
        <v>524</v>
      </c>
      <c r="T112" t="s">
        <v>202</v>
      </c>
      <c r="W112" t="s">
        <v>343</v>
      </c>
      <c r="X112" t="s">
        <v>497</v>
      </c>
      <c r="Z112" t="s">
        <v>550</v>
      </c>
      <c r="AB112" t="s">
        <v>53</v>
      </c>
      <c r="AC112">
        <v>6</v>
      </c>
      <c r="AD112" t="s">
        <v>501</v>
      </c>
    </row>
    <row r="113" spans="1:30" x14ac:dyDescent="0.2">
      <c r="A113" t="s">
        <v>551</v>
      </c>
      <c r="B113" t="s">
        <v>552</v>
      </c>
      <c r="C113">
        <v>22349521</v>
      </c>
      <c r="D113">
        <v>50563</v>
      </c>
      <c r="E113">
        <v>10079</v>
      </c>
      <c r="H113" s="3" t="s">
        <v>2067</v>
      </c>
      <c r="J113" t="s">
        <v>295</v>
      </c>
      <c r="K113" t="s">
        <v>59</v>
      </c>
      <c r="R113" t="s">
        <v>524</v>
      </c>
      <c r="T113" t="s">
        <v>202</v>
      </c>
      <c r="W113" t="s">
        <v>554</v>
      </c>
      <c r="X113" t="s">
        <v>497</v>
      </c>
      <c r="Z113" t="s">
        <v>553</v>
      </c>
      <c r="AB113" t="s">
        <v>53</v>
      </c>
      <c r="AC113">
        <v>7</v>
      </c>
      <c r="AD113" t="s">
        <v>501</v>
      </c>
    </row>
    <row r="114" spans="1:30" x14ac:dyDescent="0.2">
      <c r="A114" t="s">
        <v>555</v>
      </c>
      <c r="B114" t="s">
        <v>556</v>
      </c>
      <c r="C114">
        <v>13394471</v>
      </c>
      <c r="D114">
        <v>20150</v>
      </c>
      <c r="E114">
        <v>6204</v>
      </c>
      <c r="H114" s="3" t="s">
        <v>2067</v>
      </c>
      <c r="J114" t="s">
        <v>285</v>
      </c>
      <c r="K114" t="s">
        <v>558</v>
      </c>
      <c r="R114" t="s">
        <v>524</v>
      </c>
      <c r="T114" t="s">
        <v>202</v>
      </c>
      <c r="W114" t="s">
        <v>559</v>
      </c>
      <c r="X114" t="s">
        <v>497</v>
      </c>
      <c r="Z114" t="s">
        <v>557</v>
      </c>
      <c r="AB114" t="s">
        <v>53</v>
      </c>
      <c r="AC114">
        <v>8</v>
      </c>
      <c r="AD114" t="s">
        <v>501</v>
      </c>
    </row>
    <row r="115" spans="1:30" x14ac:dyDescent="0.2">
      <c r="A115" t="s">
        <v>560</v>
      </c>
      <c r="B115" t="s">
        <v>561</v>
      </c>
      <c r="C115">
        <v>18480069</v>
      </c>
      <c r="D115">
        <v>24391</v>
      </c>
      <c r="E115">
        <v>7828</v>
      </c>
      <c r="H115" s="3" t="s">
        <v>2067</v>
      </c>
      <c r="J115" t="s">
        <v>295</v>
      </c>
      <c r="K115" t="s">
        <v>474</v>
      </c>
      <c r="R115" t="s">
        <v>524</v>
      </c>
      <c r="T115" t="s">
        <v>202</v>
      </c>
      <c r="W115" t="s">
        <v>239</v>
      </c>
      <c r="X115" t="s">
        <v>497</v>
      </c>
      <c r="Z115" t="s">
        <v>562</v>
      </c>
      <c r="AB115" t="s">
        <v>53</v>
      </c>
      <c r="AC115">
        <v>9</v>
      </c>
      <c r="AD115" t="s">
        <v>501</v>
      </c>
    </row>
    <row r="116" spans="1:30" x14ac:dyDescent="0.2">
      <c r="A116" t="s">
        <v>563</v>
      </c>
      <c r="B116" t="s">
        <v>564</v>
      </c>
      <c r="C116">
        <v>15984811</v>
      </c>
      <c r="D116">
        <v>27715</v>
      </c>
      <c r="E116">
        <v>8971</v>
      </c>
      <c r="H116" s="3" t="s">
        <v>2067</v>
      </c>
      <c r="J116" t="s">
        <v>285</v>
      </c>
      <c r="K116" t="s">
        <v>34</v>
      </c>
      <c r="R116" t="s">
        <v>524</v>
      </c>
      <c r="T116" t="s">
        <v>202</v>
      </c>
      <c r="W116" t="s">
        <v>566</v>
      </c>
      <c r="X116" t="s">
        <v>497</v>
      </c>
      <c r="Z116" t="s">
        <v>565</v>
      </c>
      <c r="AB116" t="s">
        <v>53</v>
      </c>
      <c r="AC116">
        <v>10</v>
      </c>
      <c r="AD116" t="s">
        <v>501</v>
      </c>
    </row>
    <row r="117" spans="1:30" x14ac:dyDescent="0.2">
      <c r="A117" t="s">
        <v>567</v>
      </c>
      <c r="B117" t="s">
        <v>568</v>
      </c>
      <c r="C117">
        <v>3026993</v>
      </c>
      <c r="D117">
        <v>382981</v>
      </c>
      <c r="E117">
        <v>4905</v>
      </c>
      <c r="H117" s="3" t="s">
        <v>2068</v>
      </c>
      <c r="J117" s="3" t="s">
        <v>2084</v>
      </c>
      <c r="K117" t="s">
        <v>446</v>
      </c>
      <c r="R117" t="s">
        <v>524</v>
      </c>
      <c r="T117" t="s">
        <v>202</v>
      </c>
      <c r="W117" t="s">
        <v>29</v>
      </c>
      <c r="X117" t="s">
        <v>497</v>
      </c>
      <c r="Z117" t="s">
        <v>569</v>
      </c>
      <c r="AB117" t="s">
        <v>53</v>
      </c>
      <c r="AC117">
        <v>7</v>
      </c>
      <c r="AD117" t="s">
        <v>501</v>
      </c>
    </row>
    <row r="118" spans="1:30" x14ac:dyDescent="0.2">
      <c r="A118" t="s">
        <v>570</v>
      </c>
      <c r="B118" t="s">
        <v>571</v>
      </c>
      <c r="C118">
        <v>1630973</v>
      </c>
      <c r="D118">
        <v>175908</v>
      </c>
      <c r="E118">
        <v>1977</v>
      </c>
      <c r="H118" s="3" t="s">
        <v>2068</v>
      </c>
      <c r="J118" s="3" t="s">
        <v>2084</v>
      </c>
      <c r="K118" t="s">
        <v>41</v>
      </c>
      <c r="R118" t="s">
        <v>524</v>
      </c>
      <c r="T118" t="s">
        <v>202</v>
      </c>
      <c r="W118" t="s">
        <v>573</v>
      </c>
      <c r="X118" t="s">
        <v>497</v>
      </c>
      <c r="Z118" t="s">
        <v>572</v>
      </c>
      <c r="AB118" t="s">
        <v>53</v>
      </c>
      <c r="AC118">
        <v>10</v>
      </c>
      <c r="AD118" t="s">
        <v>501</v>
      </c>
    </row>
    <row r="119" spans="1:30" x14ac:dyDescent="0.2">
      <c r="A119" t="s">
        <v>574</v>
      </c>
      <c r="B119" t="s">
        <v>575</v>
      </c>
      <c r="C119">
        <v>21054529</v>
      </c>
      <c r="D119">
        <v>20873427</v>
      </c>
      <c r="E119">
        <v>218</v>
      </c>
      <c r="H119" s="3" t="s">
        <v>2085</v>
      </c>
      <c r="J119" s="3" t="s">
        <v>2084</v>
      </c>
      <c r="K119" t="s">
        <v>193</v>
      </c>
      <c r="L119" t="s">
        <v>176</v>
      </c>
      <c r="M119" t="s">
        <v>221</v>
      </c>
      <c r="R119" t="s">
        <v>524</v>
      </c>
      <c r="T119" t="s">
        <v>202</v>
      </c>
      <c r="W119" t="s">
        <v>358</v>
      </c>
      <c r="X119" t="s">
        <v>497</v>
      </c>
      <c r="Z119" t="s">
        <v>576</v>
      </c>
      <c r="AB119" t="s">
        <v>53</v>
      </c>
      <c r="AD119" t="s">
        <v>516</v>
      </c>
    </row>
    <row r="120" spans="1:30" x14ac:dyDescent="0.2">
      <c r="A120" t="s">
        <v>577</v>
      </c>
      <c r="B120" t="s">
        <v>578</v>
      </c>
      <c r="C120">
        <v>2166117</v>
      </c>
      <c r="D120">
        <v>1216461</v>
      </c>
      <c r="E120">
        <v>971</v>
      </c>
      <c r="H120" s="3" t="s">
        <v>2069</v>
      </c>
      <c r="J120" s="3" t="s">
        <v>2084</v>
      </c>
      <c r="K120" t="s">
        <v>252</v>
      </c>
      <c r="L120" t="s">
        <v>176</v>
      </c>
      <c r="M120" t="s">
        <v>177</v>
      </c>
      <c r="R120" t="s">
        <v>524</v>
      </c>
      <c r="T120" t="s">
        <v>202</v>
      </c>
      <c r="W120" t="s">
        <v>244</v>
      </c>
      <c r="X120" t="s">
        <v>497</v>
      </c>
      <c r="Z120" t="s">
        <v>579</v>
      </c>
      <c r="AB120" t="s">
        <v>53</v>
      </c>
      <c r="AD120" t="s">
        <v>501</v>
      </c>
    </row>
    <row r="121" spans="1:30" x14ac:dyDescent="0.2">
      <c r="A121" t="s">
        <v>580</v>
      </c>
      <c r="B121" t="s">
        <v>581</v>
      </c>
      <c r="C121">
        <v>15762715</v>
      </c>
      <c r="D121">
        <v>113598</v>
      </c>
      <c r="E121">
        <v>7167</v>
      </c>
      <c r="H121" s="3" t="s">
        <v>2067</v>
      </c>
      <c r="J121" s="3" t="s">
        <v>295</v>
      </c>
      <c r="K121" t="s">
        <v>92</v>
      </c>
      <c r="R121" t="s">
        <v>85</v>
      </c>
      <c r="T121" t="s">
        <v>30</v>
      </c>
      <c r="W121" t="s">
        <v>253</v>
      </c>
      <c r="X121" t="s">
        <v>497</v>
      </c>
      <c r="Z121" t="s">
        <v>582</v>
      </c>
      <c r="AC121">
        <v>49</v>
      </c>
      <c r="AD121" t="s">
        <v>501</v>
      </c>
    </row>
    <row r="122" spans="1:30" x14ac:dyDescent="0.2">
      <c r="A122" t="s">
        <v>583</v>
      </c>
      <c r="B122" t="s">
        <v>584</v>
      </c>
      <c r="C122">
        <v>16642495</v>
      </c>
      <c r="D122">
        <v>24118</v>
      </c>
      <c r="E122">
        <v>7296</v>
      </c>
      <c r="H122" s="3" t="s">
        <v>2067</v>
      </c>
      <c r="J122" t="s">
        <v>285</v>
      </c>
      <c r="K122" t="s">
        <v>586</v>
      </c>
      <c r="R122" t="s">
        <v>498</v>
      </c>
      <c r="T122" t="s">
        <v>503</v>
      </c>
      <c r="W122" t="s">
        <v>258</v>
      </c>
      <c r="X122" t="s">
        <v>497</v>
      </c>
      <c r="Z122" t="s">
        <v>585</v>
      </c>
      <c r="AC122">
        <v>2</v>
      </c>
      <c r="AD122" t="s">
        <v>501</v>
      </c>
    </row>
    <row r="123" spans="1:30" x14ac:dyDescent="0.2">
      <c r="A123" t="s">
        <v>587</v>
      </c>
      <c r="B123" t="s">
        <v>588</v>
      </c>
      <c r="C123">
        <v>20776322</v>
      </c>
      <c r="D123">
        <v>78150</v>
      </c>
      <c r="E123">
        <v>9951</v>
      </c>
      <c r="H123" s="3" t="s">
        <v>2067</v>
      </c>
      <c r="J123" s="3" t="s">
        <v>2083</v>
      </c>
      <c r="K123" t="s">
        <v>418</v>
      </c>
      <c r="R123" t="s">
        <v>85</v>
      </c>
      <c r="T123" t="s">
        <v>30</v>
      </c>
      <c r="W123" t="s">
        <v>590</v>
      </c>
      <c r="X123" t="s">
        <v>497</v>
      </c>
      <c r="Z123" t="s">
        <v>589</v>
      </c>
      <c r="AC123">
        <v>49</v>
      </c>
      <c r="AD123" t="s">
        <v>501</v>
      </c>
    </row>
    <row r="124" spans="1:30" x14ac:dyDescent="0.2">
      <c r="A124" t="s">
        <v>591</v>
      </c>
      <c r="B124" t="s">
        <v>592</v>
      </c>
      <c r="C124">
        <v>16460716</v>
      </c>
      <c r="D124">
        <v>256913</v>
      </c>
      <c r="E124">
        <v>13738</v>
      </c>
      <c r="H124" s="3" t="s">
        <v>2067</v>
      </c>
      <c r="J124" s="3" t="s">
        <v>2083</v>
      </c>
      <c r="K124" t="s">
        <v>188</v>
      </c>
      <c r="R124" t="s">
        <v>85</v>
      </c>
      <c r="T124" t="s">
        <v>30</v>
      </c>
      <c r="W124" t="s">
        <v>594</v>
      </c>
      <c r="X124" t="s">
        <v>497</v>
      </c>
      <c r="Z124" t="s">
        <v>593</v>
      </c>
      <c r="AB124" t="s">
        <v>53</v>
      </c>
      <c r="AC124">
        <v>49</v>
      </c>
      <c r="AD124" t="s">
        <v>501</v>
      </c>
    </row>
    <row r="125" spans="1:30" x14ac:dyDescent="0.2">
      <c r="A125" t="s">
        <v>595</v>
      </c>
      <c r="B125" t="s">
        <v>596</v>
      </c>
      <c r="C125">
        <v>22936943</v>
      </c>
      <c r="D125">
        <v>68908</v>
      </c>
      <c r="E125">
        <v>12380</v>
      </c>
      <c r="H125" s="3" t="s">
        <v>2067</v>
      </c>
      <c r="J125" s="3" t="s">
        <v>2083</v>
      </c>
      <c r="K125" t="s">
        <v>486</v>
      </c>
      <c r="R125" t="s">
        <v>85</v>
      </c>
      <c r="T125" t="s">
        <v>30</v>
      </c>
      <c r="W125" t="s">
        <v>398</v>
      </c>
      <c r="X125" t="s">
        <v>497</v>
      </c>
      <c r="Z125" t="s">
        <v>597</v>
      </c>
      <c r="AC125">
        <v>49</v>
      </c>
      <c r="AD125" t="s">
        <v>501</v>
      </c>
    </row>
    <row r="126" spans="1:30" x14ac:dyDescent="0.2">
      <c r="A126" t="s">
        <v>598</v>
      </c>
      <c r="B126" t="s">
        <v>599</v>
      </c>
      <c r="C126">
        <v>23588515</v>
      </c>
      <c r="D126">
        <v>118836</v>
      </c>
      <c r="E126">
        <v>10719</v>
      </c>
      <c r="H126" s="3" t="s">
        <v>2067</v>
      </c>
      <c r="J126" s="3" t="s">
        <v>2083</v>
      </c>
      <c r="K126" t="s">
        <v>413</v>
      </c>
      <c r="R126" t="s">
        <v>85</v>
      </c>
      <c r="T126" t="s">
        <v>30</v>
      </c>
      <c r="W126" t="s">
        <v>280</v>
      </c>
      <c r="X126" t="s">
        <v>497</v>
      </c>
      <c r="Z126" t="s">
        <v>600</v>
      </c>
      <c r="AC126">
        <v>49</v>
      </c>
      <c r="AD126" t="s">
        <v>501</v>
      </c>
    </row>
    <row r="127" spans="1:30" x14ac:dyDescent="0.2">
      <c r="A127" t="s">
        <v>601</v>
      </c>
      <c r="B127" t="s">
        <v>602</v>
      </c>
      <c r="C127">
        <v>20859240</v>
      </c>
      <c r="D127">
        <v>1391951</v>
      </c>
      <c r="E127">
        <v>9643</v>
      </c>
      <c r="H127" s="3" t="s">
        <v>2067</v>
      </c>
      <c r="J127" s="3" t="s">
        <v>2083</v>
      </c>
      <c r="K127" t="s">
        <v>46</v>
      </c>
      <c r="R127" t="s">
        <v>85</v>
      </c>
      <c r="T127" t="s">
        <v>30</v>
      </c>
      <c r="W127" t="s">
        <v>604</v>
      </c>
      <c r="X127" t="s">
        <v>497</v>
      </c>
      <c r="Z127" t="s">
        <v>603</v>
      </c>
      <c r="AB127" t="s">
        <v>53</v>
      </c>
      <c r="AC127">
        <v>49</v>
      </c>
      <c r="AD127" t="s">
        <v>501</v>
      </c>
    </row>
    <row r="128" spans="1:30" x14ac:dyDescent="0.2">
      <c r="A128" t="s">
        <v>605</v>
      </c>
      <c r="B128" t="s">
        <v>606</v>
      </c>
      <c r="C128">
        <v>17463734</v>
      </c>
      <c r="D128">
        <v>61325</v>
      </c>
      <c r="E128">
        <v>8286</v>
      </c>
      <c r="H128" s="3" t="s">
        <v>2067</v>
      </c>
      <c r="J128" s="3" t="s">
        <v>2083</v>
      </c>
      <c r="K128" t="s">
        <v>87</v>
      </c>
      <c r="R128" t="s">
        <v>85</v>
      </c>
      <c r="T128" t="s">
        <v>30</v>
      </c>
      <c r="W128" t="s">
        <v>239</v>
      </c>
      <c r="X128" t="s">
        <v>497</v>
      </c>
      <c r="Z128" t="s">
        <v>607</v>
      </c>
      <c r="AC128">
        <v>49</v>
      </c>
      <c r="AD128" t="s">
        <v>501</v>
      </c>
    </row>
    <row r="129" spans="1:30" x14ac:dyDescent="0.2">
      <c r="A129" t="s">
        <v>608</v>
      </c>
      <c r="B129" t="s">
        <v>609</v>
      </c>
      <c r="C129">
        <v>16363743</v>
      </c>
      <c r="D129">
        <v>108266</v>
      </c>
      <c r="E129">
        <v>7097</v>
      </c>
      <c r="H129" s="3" t="s">
        <v>2067</v>
      </c>
      <c r="J129" s="3" t="s">
        <v>2083</v>
      </c>
      <c r="K129" t="s">
        <v>27</v>
      </c>
      <c r="R129" t="s">
        <v>85</v>
      </c>
      <c r="T129" t="s">
        <v>30</v>
      </c>
      <c r="W129" t="s">
        <v>398</v>
      </c>
      <c r="X129" t="s">
        <v>497</v>
      </c>
      <c r="Z129" t="s">
        <v>610</v>
      </c>
      <c r="AC129">
        <v>49</v>
      </c>
      <c r="AD129" t="s">
        <v>501</v>
      </c>
    </row>
    <row r="130" spans="1:30" x14ac:dyDescent="0.2">
      <c r="A130" t="s">
        <v>611</v>
      </c>
      <c r="B130" t="s">
        <v>612</v>
      </c>
      <c r="C130">
        <v>14723135</v>
      </c>
      <c r="D130">
        <v>463080</v>
      </c>
      <c r="E130">
        <v>7936</v>
      </c>
      <c r="H130" s="3" t="s">
        <v>2067</v>
      </c>
      <c r="J130" s="3" t="s">
        <v>2083</v>
      </c>
      <c r="K130" t="s">
        <v>65</v>
      </c>
      <c r="R130" t="s">
        <v>85</v>
      </c>
      <c r="T130" t="s">
        <v>30</v>
      </c>
      <c r="W130" t="s">
        <v>614</v>
      </c>
      <c r="X130" t="s">
        <v>497</v>
      </c>
      <c r="Z130" t="s">
        <v>613</v>
      </c>
      <c r="AB130" t="s">
        <v>53</v>
      </c>
      <c r="AC130">
        <v>49</v>
      </c>
      <c r="AD130" t="s">
        <v>501</v>
      </c>
    </row>
    <row r="131" spans="1:30" x14ac:dyDescent="0.2">
      <c r="A131" t="s">
        <v>615</v>
      </c>
      <c r="B131" t="s">
        <v>616</v>
      </c>
      <c r="C131">
        <v>17392586</v>
      </c>
      <c r="D131">
        <v>39988</v>
      </c>
      <c r="E131">
        <v>7881</v>
      </c>
      <c r="H131" s="3" t="s">
        <v>2067</v>
      </c>
      <c r="J131" s="3" t="s">
        <v>285</v>
      </c>
      <c r="K131" t="s">
        <v>81</v>
      </c>
      <c r="R131" t="s">
        <v>85</v>
      </c>
      <c r="T131" t="s">
        <v>30</v>
      </c>
      <c r="W131" t="s">
        <v>280</v>
      </c>
      <c r="X131" t="s">
        <v>497</v>
      </c>
      <c r="Z131" t="s">
        <v>617</v>
      </c>
      <c r="AC131">
        <v>50</v>
      </c>
      <c r="AD131" t="s">
        <v>501</v>
      </c>
    </row>
    <row r="132" spans="1:30" x14ac:dyDescent="0.2">
      <c r="A132" t="s">
        <v>618</v>
      </c>
      <c r="B132" t="s">
        <v>619</v>
      </c>
      <c r="C132">
        <v>17057725</v>
      </c>
      <c r="D132">
        <v>222489</v>
      </c>
      <c r="E132">
        <v>8132</v>
      </c>
      <c r="H132" s="3" t="s">
        <v>2067</v>
      </c>
      <c r="J132" s="3" t="s">
        <v>285</v>
      </c>
      <c r="K132" t="s">
        <v>225</v>
      </c>
      <c r="R132" t="s">
        <v>85</v>
      </c>
      <c r="T132" t="s">
        <v>30</v>
      </c>
      <c r="W132" t="s">
        <v>66</v>
      </c>
      <c r="X132" t="s">
        <v>497</v>
      </c>
      <c r="Z132" t="s">
        <v>620</v>
      </c>
      <c r="AC132">
        <v>50</v>
      </c>
      <c r="AD132" t="s">
        <v>501</v>
      </c>
    </row>
    <row r="133" spans="1:30" x14ac:dyDescent="0.2">
      <c r="A133" t="s">
        <v>621</v>
      </c>
      <c r="B133" t="s">
        <v>622</v>
      </c>
      <c r="C133">
        <v>16559653</v>
      </c>
      <c r="D133">
        <v>30772</v>
      </c>
      <c r="E133">
        <v>8723</v>
      </c>
      <c r="H133" s="3" t="s">
        <v>2067</v>
      </c>
      <c r="J133" t="s">
        <v>295</v>
      </c>
      <c r="K133" t="s">
        <v>624</v>
      </c>
      <c r="R133" t="s">
        <v>498</v>
      </c>
      <c r="T133" t="s">
        <v>503</v>
      </c>
      <c r="W133" t="s">
        <v>502</v>
      </c>
      <c r="X133" t="s">
        <v>497</v>
      </c>
      <c r="Z133" t="s">
        <v>623</v>
      </c>
      <c r="AC133">
        <v>3</v>
      </c>
      <c r="AD133" t="s">
        <v>501</v>
      </c>
    </row>
    <row r="134" spans="1:30" x14ac:dyDescent="0.2">
      <c r="A134" t="s">
        <v>625</v>
      </c>
      <c r="B134" t="s">
        <v>626</v>
      </c>
      <c r="C134">
        <v>19093420</v>
      </c>
      <c r="D134">
        <v>628786</v>
      </c>
      <c r="E134">
        <v>8007</v>
      </c>
      <c r="H134" s="3" t="s">
        <v>2067</v>
      </c>
      <c r="J134" s="3" t="s">
        <v>285</v>
      </c>
      <c r="K134" t="s">
        <v>70</v>
      </c>
      <c r="R134" t="s">
        <v>85</v>
      </c>
      <c r="T134" t="s">
        <v>30</v>
      </c>
      <c r="W134" t="s">
        <v>60</v>
      </c>
      <c r="X134" t="s">
        <v>497</v>
      </c>
      <c r="Z134" t="s">
        <v>627</v>
      </c>
      <c r="AB134" t="s">
        <v>53</v>
      </c>
      <c r="AC134">
        <v>50</v>
      </c>
      <c r="AD134" t="s">
        <v>501</v>
      </c>
    </row>
    <row r="135" spans="1:30" x14ac:dyDescent="0.2">
      <c r="A135" t="s">
        <v>628</v>
      </c>
      <c r="B135" t="s">
        <v>629</v>
      </c>
      <c r="C135">
        <v>17476714</v>
      </c>
      <c r="D135">
        <v>51652</v>
      </c>
      <c r="E135">
        <v>8230</v>
      </c>
      <c r="H135" s="3" t="s">
        <v>2067</v>
      </c>
      <c r="J135" s="3" t="s">
        <v>285</v>
      </c>
      <c r="K135" t="s">
        <v>454</v>
      </c>
      <c r="R135" t="s">
        <v>85</v>
      </c>
      <c r="T135" t="s">
        <v>30</v>
      </c>
      <c r="W135" t="s">
        <v>66</v>
      </c>
      <c r="X135" t="s">
        <v>497</v>
      </c>
      <c r="Z135" t="s">
        <v>630</v>
      </c>
      <c r="AC135">
        <v>50</v>
      </c>
      <c r="AD135" t="s">
        <v>501</v>
      </c>
    </row>
    <row r="136" spans="1:30" x14ac:dyDescent="0.2">
      <c r="A136" t="s">
        <v>631</v>
      </c>
      <c r="B136" t="s">
        <v>632</v>
      </c>
      <c r="C136">
        <v>14646756</v>
      </c>
      <c r="D136">
        <v>434422</v>
      </c>
      <c r="E136">
        <v>8468</v>
      </c>
      <c r="H136" s="3" t="s">
        <v>2067</v>
      </c>
      <c r="J136" s="3" t="s">
        <v>285</v>
      </c>
      <c r="K136" t="s">
        <v>430</v>
      </c>
      <c r="R136" t="s">
        <v>85</v>
      </c>
      <c r="T136" t="s">
        <v>30</v>
      </c>
      <c r="W136" t="s">
        <v>215</v>
      </c>
      <c r="X136" t="s">
        <v>497</v>
      </c>
      <c r="Z136" t="s">
        <v>633</v>
      </c>
      <c r="AC136">
        <v>50</v>
      </c>
      <c r="AD136" t="s">
        <v>501</v>
      </c>
    </row>
    <row r="137" spans="1:30" x14ac:dyDescent="0.2">
      <c r="A137" t="s">
        <v>634</v>
      </c>
      <c r="B137" t="s">
        <v>635</v>
      </c>
      <c r="C137">
        <v>16365176</v>
      </c>
      <c r="D137">
        <v>8173581</v>
      </c>
      <c r="E137">
        <v>8763</v>
      </c>
      <c r="H137" s="3" t="s">
        <v>2067</v>
      </c>
      <c r="J137" s="3" t="s">
        <v>285</v>
      </c>
      <c r="K137" t="s">
        <v>314</v>
      </c>
      <c r="R137" t="s">
        <v>85</v>
      </c>
      <c r="T137" t="s">
        <v>30</v>
      </c>
      <c r="W137" t="s">
        <v>276</v>
      </c>
      <c r="X137" t="s">
        <v>497</v>
      </c>
      <c r="Z137" t="s">
        <v>636</v>
      </c>
      <c r="AB137" t="s">
        <v>53</v>
      </c>
      <c r="AC137">
        <v>50</v>
      </c>
      <c r="AD137" t="s">
        <v>501</v>
      </c>
    </row>
    <row r="138" spans="1:30" x14ac:dyDescent="0.2">
      <c r="A138" t="s">
        <v>637</v>
      </c>
      <c r="B138" t="s">
        <v>638</v>
      </c>
      <c r="C138">
        <v>23988745</v>
      </c>
      <c r="D138">
        <v>70613</v>
      </c>
      <c r="E138">
        <v>12676</v>
      </c>
      <c r="H138" s="3" t="s">
        <v>2067</v>
      </c>
      <c r="J138" s="3" t="s">
        <v>285</v>
      </c>
      <c r="K138" t="s">
        <v>284</v>
      </c>
      <c r="R138" t="s">
        <v>85</v>
      </c>
      <c r="T138" t="s">
        <v>30</v>
      </c>
      <c r="W138" t="s">
        <v>594</v>
      </c>
      <c r="X138" t="s">
        <v>497</v>
      </c>
      <c r="Z138" t="s">
        <v>639</v>
      </c>
      <c r="AC138">
        <v>50</v>
      </c>
      <c r="AD138" t="s">
        <v>501</v>
      </c>
    </row>
    <row r="139" spans="1:30" x14ac:dyDescent="0.2">
      <c r="A139" t="s">
        <v>640</v>
      </c>
      <c r="B139" t="s">
        <v>641</v>
      </c>
      <c r="C139">
        <v>5710230</v>
      </c>
      <c r="D139">
        <v>22745</v>
      </c>
      <c r="E139">
        <v>2850</v>
      </c>
      <c r="H139" s="3" t="s">
        <v>2067</v>
      </c>
      <c r="J139" s="3" t="s">
        <v>285</v>
      </c>
      <c r="K139" t="s">
        <v>143</v>
      </c>
      <c r="R139" t="s">
        <v>85</v>
      </c>
      <c r="T139" t="s">
        <v>30</v>
      </c>
      <c r="W139" t="s">
        <v>231</v>
      </c>
      <c r="X139" t="s">
        <v>497</v>
      </c>
      <c r="Z139" t="s">
        <v>642</v>
      </c>
      <c r="AC139">
        <v>50</v>
      </c>
      <c r="AD139" t="s">
        <v>501</v>
      </c>
    </row>
    <row r="140" spans="1:30" x14ac:dyDescent="0.2">
      <c r="A140" t="s">
        <v>643</v>
      </c>
      <c r="B140" t="s">
        <v>644</v>
      </c>
      <c r="C140">
        <v>21526864</v>
      </c>
      <c r="D140">
        <v>1026412</v>
      </c>
      <c r="E140">
        <v>10618</v>
      </c>
      <c r="H140" s="3" t="s">
        <v>2067</v>
      </c>
      <c r="J140" s="3" t="s">
        <v>285</v>
      </c>
      <c r="K140" t="s">
        <v>149</v>
      </c>
      <c r="R140" t="s">
        <v>85</v>
      </c>
      <c r="T140" t="s">
        <v>30</v>
      </c>
      <c r="W140" t="s">
        <v>343</v>
      </c>
      <c r="X140" t="s">
        <v>497</v>
      </c>
      <c r="Z140" t="s">
        <v>645</v>
      </c>
      <c r="AB140" t="s">
        <v>53</v>
      </c>
      <c r="AC140">
        <v>50</v>
      </c>
      <c r="AD140" t="s">
        <v>501</v>
      </c>
    </row>
    <row r="141" spans="1:30" x14ac:dyDescent="0.2">
      <c r="A141" t="s">
        <v>646</v>
      </c>
      <c r="B141" t="s">
        <v>647</v>
      </c>
      <c r="C141">
        <v>13983288</v>
      </c>
      <c r="D141">
        <v>35204</v>
      </c>
      <c r="E141">
        <v>7390</v>
      </c>
      <c r="H141" s="3" t="s">
        <v>2067</v>
      </c>
      <c r="J141" s="3" t="s">
        <v>295</v>
      </c>
      <c r="K141" t="s">
        <v>334</v>
      </c>
      <c r="R141" t="s">
        <v>85</v>
      </c>
      <c r="T141" t="s">
        <v>30</v>
      </c>
      <c r="W141" t="s">
        <v>614</v>
      </c>
      <c r="X141" t="s">
        <v>497</v>
      </c>
      <c r="Z141" t="s">
        <v>648</v>
      </c>
      <c r="AC141">
        <v>51</v>
      </c>
      <c r="AD141" t="s">
        <v>501</v>
      </c>
    </row>
    <row r="142" spans="1:30" x14ac:dyDescent="0.2">
      <c r="A142" t="s">
        <v>649</v>
      </c>
      <c r="B142" t="s">
        <v>650</v>
      </c>
      <c r="C142">
        <v>12560761</v>
      </c>
      <c r="D142">
        <v>200797</v>
      </c>
      <c r="E142">
        <v>6090</v>
      </c>
      <c r="H142" s="3" t="s">
        <v>2067</v>
      </c>
      <c r="J142" s="3" t="s">
        <v>295</v>
      </c>
      <c r="K142" t="s">
        <v>214</v>
      </c>
      <c r="R142" t="s">
        <v>85</v>
      </c>
      <c r="T142" t="s">
        <v>30</v>
      </c>
      <c r="W142" t="s">
        <v>239</v>
      </c>
      <c r="X142" t="s">
        <v>497</v>
      </c>
      <c r="Z142" t="s">
        <v>651</v>
      </c>
      <c r="AC142">
        <v>51</v>
      </c>
      <c r="AD142" t="s">
        <v>501</v>
      </c>
    </row>
    <row r="143" spans="1:30" x14ac:dyDescent="0.2">
      <c r="A143" t="s">
        <v>652</v>
      </c>
      <c r="B143" t="s">
        <v>653</v>
      </c>
      <c r="C143">
        <v>17666473</v>
      </c>
      <c r="D143">
        <v>328298</v>
      </c>
      <c r="E143">
        <v>6586</v>
      </c>
      <c r="H143" s="3" t="s">
        <v>2067</v>
      </c>
      <c r="J143" s="3" t="s">
        <v>295</v>
      </c>
      <c r="K143" t="s">
        <v>342</v>
      </c>
      <c r="R143" t="s">
        <v>85</v>
      </c>
      <c r="T143" t="s">
        <v>30</v>
      </c>
      <c r="W143" t="s">
        <v>330</v>
      </c>
      <c r="X143" t="s">
        <v>497</v>
      </c>
      <c r="Z143" t="s">
        <v>654</v>
      </c>
      <c r="AB143" t="s">
        <v>53</v>
      </c>
      <c r="AC143">
        <v>51</v>
      </c>
      <c r="AD143" t="s">
        <v>501</v>
      </c>
    </row>
    <row r="144" spans="1:30" x14ac:dyDescent="0.2">
      <c r="A144" t="s">
        <v>655</v>
      </c>
      <c r="B144" t="s">
        <v>656</v>
      </c>
      <c r="C144">
        <v>19249676</v>
      </c>
      <c r="D144">
        <v>81165</v>
      </c>
      <c r="E144">
        <v>8405</v>
      </c>
      <c r="H144" s="3" t="s">
        <v>2067</v>
      </c>
      <c r="J144" t="s">
        <v>285</v>
      </c>
      <c r="K144" t="s">
        <v>658</v>
      </c>
      <c r="R144" t="s">
        <v>498</v>
      </c>
      <c r="T144" t="s">
        <v>503</v>
      </c>
      <c r="W144" t="s">
        <v>659</v>
      </c>
      <c r="X144" t="s">
        <v>497</v>
      </c>
      <c r="Z144" t="s">
        <v>657</v>
      </c>
      <c r="AC144">
        <v>4</v>
      </c>
      <c r="AD144" t="s">
        <v>501</v>
      </c>
    </row>
    <row r="145" spans="1:30" x14ac:dyDescent="0.2">
      <c r="A145" t="s">
        <v>660</v>
      </c>
      <c r="B145" t="s">
        <v>661</v>
      </c>
      <c r="C145">
        <v>17520498</v>
      </c>
      <c r="D145">
        <v>73859</v>
      </c>
      <c r="E145">
        <v>6565</v>
      </c>
      <c r="H145" s="3" t="s">
        <v>2067</v>
      </c>
      <c r="J145" s="3" t="s">
        <v>295</v>
      </c>
      <c r="K145" t="s">
        <v>99</v>
      </c>
      <c r="R145" t="s">
        <v>85</v>
      </c>
      <c r="T145" t="s">
        <v>30</v>
      </c>
      <c r="W145" t="s">
        <v>60</v>
      </c>
      <c r="X145" t="s">
        <v>497</v>
      </c>
      <c r="Z145" t="s">
        <v>662</v>
      </c>
      <c r="AC145">
        <v>51</v>
      </c>
      <c r="AD145" t="s">
        <v>501</v>
      </c>
    </row>
    <row r="146" spans="1:30" x14ac:dyDescent="0.2">
      <c r="A146" t="s">
        <v>663</v>
      </c>
      <c r="B146" t="s">
        <v>664</v>
      </c>
      <c r="C146">
        <v>17065940</v>
      </c>
      <c r="D146">
        <v>623922</v>
      </c>
      <c r="E146">
        <v>9500</v>
      </c>
      <c r="H146" s="3" t="s">
        <v>2067</v>
      </c>
      <c r="J146" s="3" t="s">
        <v>295</v>
      </c>
      <c r="K146" t="s">
        <v>114</v>
      </c>
      <c r="R146" t="s">
        <v>85</v>
      </c>
      <c r="T146" t="s">
        <v>30</v>
      </c>
      <c r="W146" t="s">
        <v>276</v>
      </c>
      <c r="X146" t="s">
        <v>497</v>
      </c>
      <c r="Z146" t="s">
        <v>665</v>
      </c>
      <c r="AC146">
        <v>51</v>
      </c>
      <c r="AD146" t="s">
        <v>501</v>
      </c>
    </row>
    <row r="147" spans="1:30" x14ac:dyDescent="0.2">
      <c r="A147" t="s">
        <v>666</v>
      </c>
      <c r="B147" t="s">
        <v>667</v>
      </c>
      <c r="C147">
        <v>18514098</v>
      </c>
      <c r="D147">
        <v>3740664</v>
      </c>
      <c r="E147">
        <v>27280</v>
      </c>
      <c r="H147" s="3" t="s">
        <v>2067</v>
      </c>
      <c r="J147" s="3" t="s">
        <v>295</v>
      </c>
      <c r="K147" t="s">
        <v>478</v>
      </c>
      <c r="R147" t="s">
        <v>85</v>
      </c>
      <c r="T147" t="s">
        <v>30</v>
      </c>
      <c r="W147" t="s">
        <v>398</v>
      </c>
      <c r="X147" t="s">
        <v>497</v>
      </c>
      <c r="Z147" t="s">
        <v>668</v>
      </c>
      <c r="AB147" t="s">
        <v>53</v>
      </c>
      <c r="AC147">
        <v>51</v>
      </c>
      <c r="AD147" t="s">
        <v>501</v>
      </c>
    </row>
    <row r="148" spans="1:30" x14ac:dyDescent="0.2">
      <c r="A148" t="s">
        <v>669</v>
      </c>
      <c r="B148" t="s">
        <v>670</v>
      </c>
      <c r="C148">
        <v>22533210</v>
      </c>
      <c r="D148">
        <v>57295</v>
      </c>
      <c r="E148">
        <v>8381</v>
      </c>
      <c r="H148" s="3" t="s">
        <v>2067</v>
      </c>
      <c r="J148" s="3" t="s">
        <v>295</v>
      </c>
      <c r="K148" t="s">
        <v>210</v>
      </c>
      <c r="R148" t="s">
        <v>85</v>
      </c>
      <c r="T148" t="s">
        <v>30</v>
      </c>
      <c r="W148" t="s">
        <v>542</v>
      </c>
      <c r="X148" t="s">
        <v>497</v>
      </c>
      <c r="Z148" t="s">
        <v>671</v>
      </c>
      <c r="AC148">
        <v>51</v>
      </c>
      <c r="AD148" t="s">
        <v>501</v>
      </c>
    </row>
    <row r="149" spans="1:30" x14ac:dyDescent="0.2">
      <c r="A149" t="s">
        <v>672</v>
      </c>
      <c r="B149" t="s">
        <v>673</v>
      </c>
      <c r="C149">
        <v>18065586</v>
      </c>
      <c r="D149">
        <v>262047</v>
      </c>
      <c r="E149">
        <v>8828</v>
      </c>
      <c r="H149" s="3" t="s">
        <v>2067</v>
      </c>
      <c r="J149" s="3" t="s">
        <v>295</v>
      </c>
      <c r="K149" t="s">
        <v>109</v>
      </c>
      <c r="R149" t="s">
        <v>85</v>
      </c>
      <c r="T149" t="s">
        <v>30</v>
      </c>
      <c r="W149" t="s">
        <v>414</v>
      </c>
      <c r="X149" t="s">
        <v>497</v>
      </c>
      <c r="Z149" t="s">
        <v>674</v>
      </c>
      <c r="AC149">
        <v>51</v>
      </c>
      <c r="AD149" t="s">
        <v>501</v>
      </c>
    </row>
    <row r="150" spans="1:30" x14ac:dyDescent="0.2">
      <c r="A150" t="s">
        <v>675</v>
      </c>
      <c r="B150" t="s">
        <v>676</v>
      </c>
      <c r="C150">
        <v>16926350</v>
      </c>
      <c r="D150">
        <v>280709</v>
      </c>
      <c r="E150">
        <v>6273</v>
      </c>
      <c r="H150" s="3" t="s">
        <v>2067</v>
      </c>
      <c r="J150" s="3" t="s">
        <v>295</v>
      </c>
      <c r="K150" t="s">
        <v>104</v>
      </c>
      <c r="R150" t="s">
        <v>85</v>
      </c>
      <c r="T150" t="s">
        <v>30</v>
      </c>
      <c r="W150" t="s">
        <v>266</v>
      </c>
      <c r="X150" t="s">
        <v>497</v>
      </c>
      <c r="Z150" t="s">
        <v>677</v>
      </c>
      <c r="AB150" t="s">
        <v>53</v>
      </c>
      <c r="AC150">
        <v>51</v>
      </c>
      <c r="AD150" t="s">
        <v>501</v>
      </c>
    </row>
    <row r="151" spans="1:30" x14ac:dyDescent="0.2">
      <c r="A151" t="s">
        <v>678</v>
      </c>
      <c r="B151" t="s">
        <v>679</v>
      </c>
      <c r="C151">
        <v>6208087</v>
      </c>
      <c r="D151">
        <v>5553629</v>
      </c>
      <c r="E151">
        <v>19901</v>
      </c>
      <c r="H151" s="3" t="s">
        <v>2068</v>
      </c>
      <c r="J151" s="3" t="s">
        <v>2084</v>
      </c>
      <c r="K151" t="s">
        <v>367</v>
      </c>
      <c r="P151" t="s">
        <v>681</v>
      </c>
      <c r="R151" t="s">
        <v>85</v>
      </c>
      <c r="T151" t="s">
        <v>30</v>
      </c>
      <c r="W151" t="s">
        <v>280</v>
      </c>
      <c r="X151" t="s">
        <v>497</v>
      </c>
      <c r="Z151" t="s">
        <v>680</v>
      </c>
      <c r="AC151">
        <v>49</v>
      </c>
      <c r="AD151" t="s">
        <v>501</v>
      </c>
    </row>
    <row r="152" spans="1:30" x14ac:dyDescent="0.2">
      <c r="A152" t="s">
        <v>682</v>
      </c>
      <c r="B152" t="s">
        <v>683</v>
      </c>
      <c r="C152">
        <v>1667905</v>
      </c>
      <c r="D152">
        <v>586787</v>
      </c>
      <c r="E152">
        <v>1373</v>
      </c>
      <c r="H152" s="3" t="s">
        <v>2068</v>
      </c>
      <c r="J152" s="3" t="s">
        <v>2084</v>
      </c>
      <c r="K152" t="s">
        <v>352</v>
      </c>
      <c r="P152" t="s">
        <v>681</v>
      </c>
      <c r="R152" t="s">
        <v>85</v>
      </c>
      <c r="T152" t="s">
        <v>30</v>
      </c>
      <c r="W152" t="s">
        <v>93</v>
      </c>
      <c r="X152" t="s">
        <v>497</v>
      </c>
      <c r="Z152" t="s">
        <v>684</v>
      </c>
      <c r="AC152">
        <v>50</v>
      </c>
      <c r="AD152" t="s">
        <v>501</v>
      </c>
    </row>
    <row r="153" spans="1:30" x14ac:dyDescent="0.2">
      <c r="A153" t="s">
        <v>685</v>
      </c>
      <c r="B153" t="s">
        <v>686</v>
      </c>
      <c r="C153">
        <v>1442242</v>
      </c>
      <c r="D153">
        <v>464518</v>
      </c>
      <c r="E153">
        <v>911</v>
      </c>
      <c r="H153" s="3" t="s">
        <v>2068</v>
      </c>
      <c r="J153" s="3" t="s">
        <v>2084</v>
      </c>
      <c r="K153" t="s">
        <v>119</v>
      </c>
      <c r="P153" t="s">
        <v>681</v>
      </c>
      <c r="R153" t="s">
        <v>85</v>
      </c>
      <c r="T153" t="s">
        <v>30</v>
      </c>
      <c r="W153" t="s">
        <v>688</v>
      </c>
      <c r="X153" t="s">
        <v>497</v>
      </c>
      <c r="Z153" t="s">
        <v>687</v>
      </c>
      <c r="AC153">
        <v>49</v>
      </c>
      <c r="AD153" t="s">
        <v>501</v>
      </c>
    </row>
    <row r="154" spans="1:30" x14ac:dyDescent="0.2">
      <c r="A154" t="s">
        <v>689</v>
      </c>
      <c r="B154" t="s">
        <v>690</v>
      </c>
      <c r="C154">
        <v>2089359</v>
      </c>
      <c r="D154">
        <v>812896</v>
      </c>
      <c r="E154">
        <v>972</v>
      </c>
      <c r="H154" s="3" t="s">
        <v>2068</v>
      </c>
      <c r="J154" s="3" t="s">
        <v>2084</v>
      </c>
      <c r="K154" t="s">
        <v>126</v>
      </c>
      <c r="P154" t="s">
        <v>681</v>
      </c>
      <c r="R154" t="s">
        <v>85</v>
      </c>
      <c r="T154" t="s">
        <v>30</v>
      </c>
      <c r="W154" t="s">
        <v>594</v>
      </c>
      <c r="X154" t="s">
        <v>497</v>
      </c>
      <c r="Z154" t="s">
        <v>691</v>
      </c>
      <c r="AC154">
        <v>50</v>
      </c>
      <c r="AD154" t="s">
        <v>501</v>
      </c>
    </row>
    <row r="155" spans="1:30" x14ac:dyDescent="0.2">
      <c r="A155" t="s">
        <v>692</v>
      </c>
      <c r="B155" t="s">
        <v>693</v>
      </c>
      <c r="C155">
        <v>20012172</v>
      </c>
      <c r="D155">
        <v>26764</v>
      </c>
      <c r="E155">
        <v>7494</v>
      </c>
      <c r="H155" s="3" t="s">
        <v>2067</v>
      </c>
      <c r="J155" t="s">
        <v>295</v>
      </c>
      <c r="K155" t="s">
        <v>695</v>
      </c>
      <c r="R155" t="s">
        <v>498</v>
      </c>
      <c r="T155" t="s">
        <v>503</v>
      </c>
      <c r="W155" t="s">
        <v>696</v>
      </c>
      <c r="X155" t="s">
        <v>497</v>
      </c>
      <c r="Z155" t="s">
        <v>694</v>
      </c>
      <c r="AC155">
        <v>5</v>
      </c>
      <c r="AD155" t="s">
        <v>501</v>
      </c>
    </row>
    <row r="156" spans="1:30" x14ac:dyDescent="0.2">
      <c r="A156" t="s">
        <v>697</v>
      </c>
      <c r="B156" t="s">
        <v>698</v>
      </c>
      <c r="C156">
        <v>1337611</v>
      </c>
      <c r="D156">
        <v>591386</v>
      </c>
      <c r="E156">
        <v>1482</v>
      </c>
      <c r="H156" s="3" t="s">
        <v>2068</v>
      </c>
      <c r="J156" s="3" t="s">
        <v>2084</v>
      </c>
      <c r="K156" t="s">
        <v>201</v>
      </c>
      <c r="P156" t="s">
        <v>681</v>
      </c>
      <c r="R156" t="s">
        <v>85</v>
      </c>
      <c r="T156" t="s">
        <v>30</v>
      </c>
      <c r="W156" t="s">
        <v>315</v>
      </c>
      <c r="X156" t="s">
        <v>497</v>
      </c>
      <c r="Z156" t="s">
        <v>699</v>
      </c>
      <c r="AC156">
        <v>49</v>
      </c>
      <c r="AD156" t="s">
        <v>501</v>
      </c>
    </row>
    <row r="157" spans="1:30" x14ac:dyDescent="0.2">
      <c r="A157" t="s">
        <v>700</v>
      </c>
      <c r="B157" t="s">
        <v>701</v>
      </c>
      <c r="C157">
        <v>18031694</v>
      </c>
      <c r="D157">
        <v>17874762</v>
      </c>
      <c r="E157">
        <v>466</v>
      </c>
      <c r="H157" s="3" t="s">
        <v>2085</v>
      </c>
      <c r="J157" s="3" t="s">
        <v>2084</v>
      </c>
      <c r="K157" t="s">
        <v>357</v>
      </c>
      <c r="L157" t="s">
        <v>176</v>
      </c>
      <c r="M157" t="s">
        <v>1436</v>
      </c>
      <c r="R157" t="s">
        <v>85</v>
      </c>
      <c r="T157" t="s">
        <v>30</v>
      </c>
      <c r="W157" t="s">
        <v>703</v>
      </c>
      <c r="X157" t="s">
        <v>497</v>
      </c>
      <c r="Z157" t="s">
        <v>702</v>
      </c>
      <c r="AD157" t="s">
        <v>516</v>
      </c>
    </row>
    <row r="158" spans="1:30" x14ac:dyDescent="0.2">
      <c r="A158" t="s">
        <v>704</v>
      </c>
      <c r="B158" t="s">
        <v>705</v>
      </c>
      <c r="C158">
        <v>1111333</v>
      </c>
      <c r="D158">
        <v>592968</v>
      </c>
      <c r="E158">
        <v>1769</v>
      </c>
      <c r="H158" s="3" t="s">
        <v>2069</v>
      </c>
      <c r="J158" s="3" t="s">
        <v>2084</v>
      </c>
      <c r="K158" t="s">
        <v>132</v>
      </c>
      <c r="L158" t="s">
        <v>176</v>
      </c>
      <c r="M158" t="s">
        <v>177</v>
      </c>
      <c r="R158" t="s">
        <v>85</v>
      </c>
      <c r="T158" t="s">
        <v>30</v>
      </c>
      <c r="W158" t="s">
        <v>330</v>
      </c>
      <c r="X158" t="s">
        <v>497</v>
      </c>
      <c r="Z158" t="s">
        <v>706</v>
      </c>
      <c r="AD158" t="s">
        <v>501</v>
      </c>
    </row>
    <row r="159" spans="1:30" x14ac:dyDescent="0.2">
      <c r="A159" t="s">
        <v>707</v>
      </c>
      <c r="B159" t="s">
        <v>708</v>
      </c>
      <c r="C159">
        <v>12491235</v>
      </c>
      <c r="D159">
        <v>126313</v>
      </c>
      <c r="E159">
        <v>6714</v>
      </c>
      <c r="H159" s="3" t="s">
        <v>2067</v>
      </c>
      <c r="J159" s="3" t="s">
        <v>295</v>
      </c>
      <c r="K159" t="s">
        <v>138</v>
      </c>
      <c r="R159" t="s">
        <v>218</v>
      </c>
      <c r="T159" t="s">
        <v>202</v>
      </c>
      <c r="W159" t="s">
        <v>362</v>
      </c>
      <c r="X159" t="s">
        <v>497</v>
      </c>
      <c r="Z159" t="s">
        <v>709</v>
      </c>
      <c r="AC159">
        <v>49</v>
      </c>
      <c r="AD159" t="s">
        <v>501</v>
      </c>
    </row>
    <row r="160" spans="1:30" x14ac:dyDescent="0.2">
      <c r="A160" t="s">
        <v>710</v>
      </c>
      <c r="B160" t="s">
        <v>711</v>
      </c>
      <c r="C160">
        <v>17970897</v>
      </c>
      <c r="D160">
        <v>202088</v>
      </c>
      <c r="E160">
        <v>9368</v>
      </c>
      <c r="H160" s="3" t="s">
        <v>2067</v>
      </c>
      <c r="J160" s="3" t="s">
        <v>295</v>
      </c>
      <c r="K160" t="s">
        <v>347</v>
      </c>
      <c r="R160" t="s">
        <v>218</v>
      </c>
      <c r="T160" t="s">
        <v>202</v>
      </c>
      <c r="W160" t="s">
        <v>343</v>
      </c>
      <c r="X160" t="s">
        <v>497</v>
      </c>
      <c r="Z160" t="s">
        <v>712</v>
      </c>
      <c r="AC160">
        <v>49</v>
      </c>
      <c r="AD160" t="s">
        <v>501</v>
      </c>
    </row>
    <row r="161" spans="1:30" x14ac:dyDescent="0.2">
      <c r="A161" t="s">
        <v>713</v>
      </c>
      <c r="B161" t="s">
        <v>714</v>
      </c>
      <c r="C161">
        <v>13513388</v>
      </c>
      <c r="D161">
        <v>292954</v>
      </c>
      <c r="E161">
        <v>11067</v>
      </c>
      <c r="H161" s="3" t="s">
        <v>2067</v>
      </c>
      <c r="J161" s="3" t="s">
        <v>295</v>
      </c>
      <c r="K161" t="s">
        <v>461</v>
      </c>
      <c r="R161" t="s">
        <v>218</v>
      </c>
      <c r="T161" t="s">
        <v>202</v>
      </c>
      <c r="W161" t="s">
        <v>343</v>
      </c>
      <c r="X161" t="s">
        <v>497</v>
      </c>
      <c r="Z161" t="s">
        <v>715</v>
      </c>
      <c r="AB161" t="s">
        <v>53</v>
      </c>
      <c r="AC161">
        <v>49</v>
      </c>
      <c r="AD161" t="s">
        <v>501</v>
      </c>
    </row>
    <row r="162" spans="1:30" x14ac:dyDescent="0.2">
      <c r="A162" t="s">
        <v>716</v>
      </c>
      <c r="B162" t="s">
        <v>717</v>
      </c>
      <c r="C162">
        <v>7344335</v>
      </c>
      <c r="D162">
        <v>90734</v>
      </c>
      <c r="E162">
        <v>4070</v>
      </c>
      <c r="H162" s="3" t="s">
        <v>2067</v>
      </c>
      <c r="J162" s="3" t="s">
        <v>295</v>
      </c>
      <c r="K162" t="s">
        <v>450</v>
      </c>
      <c r="R162" t="s">
        <v>218</v>
      </c>
      <c r="T162" t="s">
        <v>202</v>
      </c>
      <c r="W162" t="s">
        <v>531</v>
      </c>
      <c r="X162" t="s">
        <v>497</v>
      </c>
      <c r="Z162" t="s">
        <v>718</v>
      </c>
      <c r="AC162">
        <v>49</v>
      </c>
      <c r="AD162" t="s">
        <v>501</v>
      </c>
    </row>
    <row r="163" spans="1:30" x14ac:dyDescent="0.2">
      <c r="A163" t="s">
        <v>719</v>
      </c>
      <c r="B163" t="s">
        <v>720</v>
      </c>
      <c r="C163">
        <v>15034438</v>
      </c>
      <c r="D163">
        <v>185241</v>
      </c>
      <c r="E163">
        <v>9623</v>
      </c>
      <c r="H163" s="3" t="s">
        <v>2067</v>
      </c>
      <c r="J163" s="3" t="s">
        <v>295</v>
      </c>
      <c r="K163" t="s">
        <v>329</v>
      </c>
      <c r="R163" t="s">
        <v>218</v>
      </c>
      <c r="T163" t="s">
        <v>202</v>
      </c>
      <c r="W163" t="s">
        <v>688</v>
      </c>
      <c r="X163" t="s">
        <v>497</v>
      </c>
      <c r="Z163" t="s">
        <v>721</v>
      </c>
      <c r="AC163">
        <v>49</v>
      </c>
      <c r="AD163" t="s">
        <v>501</v>
      </c>
    </row>
    <row r="164" spans="1:30" x14ac:dyDescent="0.2">
      <c r="A164" t="s">
        <v>722</v>
      </c>
      <c r="B164" t="s">
        <v>723</v>
      </c>
      <c r="C164">
        <v>10064434</v>
      </c>
      <c r="D164">
        <v>2173211</v>
      </c>
      <c r="E164">
        <v>10798</v>
      </c>
      <c r="H164" s="3" t="s">
        <v>2067</v>
      </c>
      <c r="J164" s="3" t="s">
        <v>295</v>
      </c>
      <c r="K164" t="s">
        <v>309</v>
      </c>
      <c r="R164" t="s">
        <v>218</v>
      </c>
      <c r="T164" t="s">
        <v>202</v>
      </c>
      <c r="W164" t="s">
        <v>239</v>
      </c>
      <c r="X164" t="s">
        <v>497</v>
      </c>
      <c r="Z164" t="s">
        <v>724</v>
      </c>
      <c r="AB164" t="s">
        <v>53</v>
      </c>
      <c r="AC164">
        <v>49</v>
      </c>
      <c r="AD164" t="s">
        <v>501</v>
      </c>
    </row>
    <row r="165" spans="1:30" x14ac:dyDescent="0.2">
      <c r="A165" t="s">
        <v>725</v>
      </c>
      <c r="B165" t="s">
        <v>726</v>
      </c>
      <c r="C165">
        <v>17531597</v>
      </c>
      <c r="D165">
        <v>251027</v>
      </c>
      <c r="E165">
        <v>11912</v>
      </c>
      <c r="H165" s="3" t="s">
        <v>2067</v>
      </c>
      <c r="J165" s="3" t="s">
        <v>295</v>
      </c>
      <c r="K165" t="s">
        <v>265</v>
      </c>
      <c r="R165" t="s">
        <v>218</v>
      </c>
      <c r="T165" t="s">
        <v>202</v>
      </c>
      <c r="W165" t="s">
        <v>244</v>
      </c>
      <c r="X165" t="s">
        <v>497</v>
      </c>
      <c r="Z165" t="s">
        <v>727</v>
      </c>
      <c r="AC165">
        <v>49</v>
      </c>
      <c r="AD165" t="s">
        <v>501</v>
      </c>
    </row>
    <row r="166" spans="1:30" x14ac:dyDescent="0.2">
      <c r="A166" t="s">
        <v>728</v>
      </c>
      <c r="B166" t="s">
        <v>729</v>
      </c>
      <c r="C166">
        <v>17704755</v>
      </c>
      <c r="D166">
        <v>22509</v>
      </c>
      <c r="E166">
        <v>7032</v>
      </c>
      <c r="H166" s="3" t="s">
        <v>2067</v>
      </c>
      <c r="J166" t="s">
        <v>285</v>
      </c>
      <c r="K166" t="s">
        <v>731</v>
      </c>
      <c r="R166" t="s">
        <v>498</v>
      </c>
      <c r="T166" t="s">
        <v>503</v>
      </c>
      <c r="W166" t="s">
        <v>239</v>
      </c>
      <c r="X166" t="s">
        <v>497</v>
      </c>
      <c r="Z166" t="s">
        <v>730</v>
      </c>
      <c r="AC166">
        <v>6</v>
      </c>
      <c r="AD166" t="s">
        <v>501</v>
      </c>
    </row>
    <row r="167" spans="1:30" x14ac:dyDescent="0.2">
      <c r="A167" t="s">
        <v>732</v>
      </c>
      <c r="B167" t="s">
        <v>733</v>
      </c>
      <c r="C167">
        <v>16982311</v>
      </c>
      <c r="D167">
        <v>258252</v>
      </c>
      <c r="E167">
        <v>11317</v>
      </c>
      <c r="H167" s="3" t="s">
        <v>2067</v>
      </c>
      <c r="J167" s="3" t="s">
        <v>295</v>
      </c>
      <c r="K167" t="s">
        <v>324</v>
      </c>
      <c r="R167" t="s">
        <v>218</v>
      </c>
      <c r="T167" t="s">
        <v>202</v>
      </c>
      <c r="W167" t="s">
        <v>735</v>
      </c>
      <c r="X167" t="s">
        <v>497</v>
      </c>
      <c r="Z167" t="s">
        <v>734</v>
      </c>
      <c r="AC167">
        <v>49</v>
      </c>
      <c r="AD167" t="s">
        <v>501</v>
      </c>
    </row>
    <row r="168" spans="1:30" x14ac:dyDescent="0.2">
      <c r="A168" t="s">
        <v>736</v>
      </c>
      <c r="B168" t="s">
        <v>737</v>
      </c>
      <c r="C168">
        <v>16503217</v>
      </c>
      <c r="D168">
        <v>479946</v>
      </c>
      <c r="E168">
        <v>13784</v>
      </c>
      <c r="H168" s="3" t="s">
        <v>2067</v>
      </c>
      <c r="J168" s="3" t="s">
        <v>295</v>
      </c>
      <c r="K168" t="s">
        <v>490</v>
      </c>
      <c r="R168" t="s">
        <v>218</v>
      </c>
      <c r="T168" t="s">
        <v>202</v>
      </c>
      <c r="W168" t="s">
        <v>320</v>
      </c>
      <c r="X168" t="s">
        <v>497</v>
      </c>
      <c r="Z168" t="s">
        <v>738</v>
      </c>
      <c r="AB168" t="s">
        <v>53</v>
      </c>
      <c r="AC168">
        <v>49</v>
      </c>
      <c r="AD168" t="s">
        <v>501</v>
      </c>
    </row>
    <row r="169" spans="1:30" x14ac:dyDescent="0.2">
      <c r="A169" t="s">
        <v>739</v>
      </c>
      <c r="B169" t="s">
        <v>740</v>
      </c>
      <c r="C169">
        <v>16561570</v>
      </c>
      <c r="D169">
        <v>86237</v>
      </c>
      <c r="E169">
        <v>12419</v>
      </c>
      <c r="H169" s="3" t="s">
        <v>2067</v>
      </c>
      <c r="J169" s="3" t="s">
        <v>285</v>
      </c>
      <c r="K169" t="s">
        <v>155</v>
      </c>
      <c r="R169" t="s">
        <v>218</v>
      </c>
      <c r="T169" t="s">
        <v>202</v>
      </c>
      <c r="W169" t="s">
        <v>542</v>
      </c>
      <c r="X169" t="s">
        <v>497</v>
      </c>
      <c r="Z169" t="s">
        <v>741</v>
      </c>
      <c r="AC169">
        <v>50</v>
      </c>
      <c r="AD169" t="s">
        <v>501</v>
      </c>
    </row>
    <row r="170" spans="1:30" x14ac:dyDescent="0.2">
      <c r="A170" t="s">
        <v>742</v>
      </c>
      <c r="B170" t="s">
        <v>743</v>
      </c>
      <c r="C170">
        <v>8634430</v>
      </c>
      <c r="D170">
        <v>190942</v>
      </c>
      <c r="E170">
        <v>6439</v>
      </c>
      <c r="H170" s="3" t="s">
        <v>2067</v>
      </c>
      <c r="J170" s="3" t="s">
        <v>285</v>
      </c>
      <c r="K170" t="s">
        <v>270</v>
      </c>
      <c r="R170" t="s">
        <v>218</v>
      </c>
      <c r="T170" t="s">
        <v>202</v>
      </c>
      <c r="W170" t="s">
        <v>315</v>
      </c>
      <c r="X170" t="s">
        <v>497</v>
      </c>
      <c r="Z170" t="s">
        <v>744</v>
      </c>
      <c r="AC170">
        <v>50</v>
      </c>
      <c r="AD170" t="s">
        <v>501</v>
      </c>
    </row>
    <row r="171" spans="1:30" x14ac:dyDescent="0.2">
      <c r="A171" t="s">
        <v>745</v>
      </c>
      <c r="B171" t="s">
        <v>746</v>
      </c>
      <c r="C171">
        <v>13881462</v>
      </c>
      <c r="D171">
        <v>352071</v>
      </c>
      <c r="E171">
        <v>9349</v>
      </c>
      <c r="H171" s="3" t="s">
        <v>2067</v>
      </c>
      <c r="J171" s="3" t="s">
        <v>285</v>
      </c>
      <c r="K171" t="s">
        <v>304</v>
      </c>
      <c r="R171" t="s">
        <v>218</v>
      </c>
      <c r="T171" t="s">
        <v>202</v>
      </c>
      <c r="W171" t="s">
        <v>502</v>
      </c>
      <c r="X171" t="s">
        <v>497</v>
      </c>
      <c r="Z171" t="s">
        <v>747</v>
      </c>
      <c r="AB171" t="s">
        <v>53</v>
      </c>
      <c r="AC171">
        <v>50</v>
      </c>
      <c r="AD171" t="s">
        <v>501</v>
      </c>
    </row>
    <row r="172" spans="1:30" x14ac:dyDescent="0.2">
      <c r="A172" t="s">
        <v>748</v>
      </c>
      <c r="B172" t="s">
        <v>749</v>
      </c>
      <c r="C172">
        <v>7157278</v>
      </c>
      <c r="D172">
        <v>586613</v>
      </c>
      <c r="E172">
        <v>3294</v>
      </c>
      <c r="H172" s="3" t="s">
        <v>2067</v>
      </c>
      <c r="J172" s="3" t="s">
        <v>285</v>
      </c>
      <c r="K172" t="s">
        <v>165</v>
      </c>
      <c r="R172" t="s">
        <v>218</v>
      </c>
      <c r="T172" t="s">
        <v>202</v>
      </c>
      <c r="W172" t="s">
        <v>291</v>
      </c>
      <c r="X172" t="s">
        <v>497</v>
      </c>
      <c r="Z172" t="s">
        <v>750</v>
      </c>
      <c r="AC172">
        <v>50</v>
      </c>
      <c r="AD172" t="s">
        <v>501</v>
      </c>
    </row>
    <row r="173" spans="1:30" x14ac:dyDescent="0.2">
      <c r="A173" t="s">
        <v>751</v>
      </c>
      <c r="B173" t="s">
        <v>752</v>
      </c>
      <c r="C173">
        <v>8622089</v>
      </c>
      <c r="D173">
        <v>1597614</v>
      </c>
      <c r="E173">
        <v>5824</v>
      </c>
      <c r="H173" s="3" t="s">
        <v>2067</v>
      </c>
      <c r="J173" s="3" t="s">
        <v>285</v>
      </c>
      <c r="K173" t="s">
        <v>243</v>
      </c>
      <c r="R173" t="s">
        <v>218</v>
      </c>
      <c r="T173" t="s">
        <v>202</v>
      </c>
      <c r="W173" t="s">
        <v>343</v>
      </c>
      <c r="X173" t="s">
        <v>497</v>
      </c>
      <c r="Z173" t="s">
        <v>753</v>
      </c>
      <c r="AC173">
        <v>50</v>
      </c>
      <c r="AD173" t="s">
        <v>501</v>
      </c>
    </row>
    <row r="174" spans="1:30" x14ac:dyDescent="0.2">
      <c r="A174" t="s">
        <v>754</v>
      </c>
      <c r="B174" t="s">
        <v>755</v>
      </c>
      <c r="C174">
        <v>2526536</v>
      </c>
      <c r="D174">
        <v>804828</v>
      </c>
      <c r="E174">
        <v>1168</v>
      </c>
      <c r="H174" s="3" t="s">
        <v>2067</v>
      </c>
      <c r="J174" s="3" t="s">
        <v>285</v>
      </c>
      <c r="K174" t="s">
        <v>248</v>
      </c>
      <c r="R174" t="s">
        <v>218</v>
      </c>
      <c r="T174" t="s">
        <v>202</v>
      </c>
      <c r="W174" t="s">
        <v>703</v>
      </c>
      <c r="X174" t="s">
        <v>497</v>
      </c>
      <c r="Z174" t="s">
        <v>756</v>
      </c>
      <c r="AB174" t="s">
        <v>53</v>
      </c>
      <c r="AC174">
        <v>50</v>
      </c>
      <c r="AD174" t="s">
        <v>501</v>
      </c>
    </row>
    <row r="175" spans="1:30" x14ac:dyDescent="0.2">
      <c r="A175" t="s">
        <v>757</v>
      </c>
      <c r="B175" t="s">
        <v>758</v>
      </c>
      <c r="C175">
        <v>8814382</v>
      </c>
      <c r="D175">
        <v>425784</v>
      </c>
      <c r="E175">
        <v>5919</v>
      </c>
      <c r="H175" s="3" t="s">
        <v>2067</v>
      </c>
      <c r="J175" s="3" t="s">
        <v>285</v>
      </c>
      <c r="K175" t="s">
        <v>290</v>
      </c>
      <c r="R175" t="s">
        <v>218</v>
      </c>
      <c r="T175" t="s">
        <v>202</v>
      </c>
      <c r="W175" t="s">
        <v>414</v>
      </c>
      <c r="X175" t="s">
        <v>497</v>
      </c>
      <c r="Z175" t="s">
        <v>759</v>
      </c>
      <c r="AC175">
        <v>50</v>
      </c>
      <c r="AD175" t="s">
        <v>501</v>
      </c>
    </row>
    <row r="176" spans="1:30" x14ac:dyDescent="0.2">
      <c r="A176" t="s">
        <v>760</v>
      </c>
      <c r="B176" t="s">
        <v>761</v>
      </c>
      <c r="C176">
        <v>19685917</v>
      </c>
      <c r="D176">
        <v>54880</v>
      </c>
      <c r="E176">
        <v>15142</v>
      </c>
      <c r="H176" s="3" t="s">
        <v>2067</v>
      </c>
      <c r="J176" s="3" t="s">
        <v>285</v>
      </c>
      <c r="K176" t="s">
        <v>375</v>
      </c>
      <c r="R176" t="s">
        <v>218</v>
      </c>
      <c r="T176" t="s">
        <v>202</v>
      </c>
      <c r="W176" t="s">
        <v>291</v>
      </c>
      <c r="X176" t="s">
        <v>497</v>
      </c>
      <c r="Z176" t="s">
        <v>762</v>
      </c>
      <c r="AC176">
        <v>50</v>
      </c>
      <c r="AD176" t="s">
        <v>501</v>
      </c>
    </row>
    <row r="177" spans="1:30" x14ac:dyDescent="0.2">
      <c r="A177" t="s">
        <v>763</v>
      </c>
      <c r="B177" t="s">
        <v>764</v>
      </c>
      <c r="C177">
        <v>21616166</v>
      </c>
      <c r="D177">
        <v>31349</v>
      </c>
      <c r="E177">
        <v>10843</v>
      </c>
      <c r="H177" s="3" t="s">
        <v>2067</v>
      </c>
      <c r="J177" t="s">
        <v>295</v>
      </c>
      <c r="K177" t="s">
        <v>766</v>
      </c>
      <c r="R177" t="s">
        <v>498</v>
      </c>
      <c r="T177" t="s">
        <v>503</v>
      </c>
      <c r="W177" t="s">
        <v>343</v>
      </c>
      <c r="X177" t="s">
        <v>497</v>
      </c>
      <c r="Z177" t="s">
        <v>765</v>
      </c>
      <c r="AC177">
        <v>7</v>
      </c>
      <c r="AD177" t="s">
        <v>501</v>
      </c>
    </row>
    <row r="178" spans="1:30" x14ac:dyDescent="0.2">
      <c r="A178" t="s">
        <v>767</v>
      </c>
      <c r="B178" t="s">
        <v>768</v>
      </c>
      <c r="C178">
        <v>12131672</v>
      </c>
      <c r="D178">
        <v>567737</v>
      </c>
      <c r="E178">
        <v>9451</v>
      </c>
      <c r="H178" s="3" t="s">
        <v>2067</v>
      </c>
      <c r="J178" s="3" t="s">
        <v>2083</v>
      </c>
      <c r="K178" t="s">
        <v>386</v>
      </c>
      <c r="R178" t="s">
        <v>218</v>
      </c>
      <c r="T178" t="s">
        <v>202</v>
      </c>
      <c r="W178" t="s">
        <v>47</v>
      </c>
      <c r="X178" t="s">
        <v>497</v>
      </c>
      <c r="Z178" t="s">
        <v>769</v>
      </c>
      <c r="AB178" t="s">
        <v>53</v>
      </c>
      <c r="AC178">
        <v>50</v>
      </c>
      <c r="AD178" t="s">
        <v>501</v>
      </c>
    </row>
    <row r="179" spans="1:30" x14ac:dyDescent="0.2">
      <c r="A179" t="s">
        <v>770</v>
      </c>
      <c r="B179" t="s">
        <v>771</v>
      </c>
      <c r="C179">
        <v>18306384</v>
      </c>
      <c r="D179">
        <v>118514</v>
      </c>
      <c r="E179">
        <v>5749</v>
      </c>
      <c r="H179" s="3" t="s">
        <v>2067</v>
      </c>
      <c r="J179" s="3" t="s">
        <v>2083</v>
      </c>
      <c r="K179" t="s">
        <v>494</v>
      </c>
      <c r="R179" t="s">
        <v>218</v>
      </c>
      <c r="T179" t="s">
        <v>202</v>
      </c>
      <c r="W179" t="s">
        <v>773</v>
      </c>
      <c r="X179" t="s">
        <v>497</v>
      </c>
      <c r="Z179" t="s">
        <v>772</v>
      </c>
      <c r="AC179">
        <v>51</v>
      </c>
      <c r="AD179" t="s">
        <v>501</v>
      </c>
    </row>
    <row r="180" spans="1:30" x14ac:dyDescent="0.2">
      <c r="A180" t="s">
        <v>774</v>
      </c>
      <c r="B180" t="s">
        <v>775</v>
      </c>
      <c r="C180">
        <v>17458700</v>
      </c>
      <c r="D180">
        <v>465975</v>
      </c>
      <c r="E180">
        <v>8531</v>
      </c>
      <c r="H180" s="3" t="s">
        <v>2067</v>
      </c>
      <c r="J180" s="3" t="s">
        <v>2083</v>
      </c>
      <c r="K180" t="s">
        <v>402</v>
      </c>
      <c r="R180" t="s">
        <v>218</v>
      </c>
      <c r="T180" t="s">
        <v>202</v>
      </c>
      <c r="W180" t="s">
        <v>703</v>
      </c>
      <c r="X180" t="s">
        <v>497</v>
      </c>
      <c r="Z180" t="s">
        <v>776</v>
      </c>
      <c r="AC180">
        <v>51</v>
      </c>
      <c r="AD180" t="s">
        <v>501</v>
      </c>
    </row>
    <row r="181" spans="1:30" x14ac:dyDescent="0.2">
      <c r="A181" t="s">
        <v>777</v>
      </c>
      <c r="B181" t="s">
        <v>778</v>
      </c>
      <c r="C181">
        <v>16506607</v>
      </c>
      <c r="D181">
        <v>253671</v>
      </c>
      <c r="E181">
        <v>8394</v>
      </c>
      <c r="H181" s="3" t="s">
        <v>2067</v>
      </c>
      <c r="J181" s="3" t="s">
        <v>2083</v>
      </c>
      <c r="K181" t="s">
        <v>319</v>
      </c>
      <c r="R181" t="s">
        <v>218</v>
      </c>
      <c r="T181" t="s">
        <v>202</v>
      </c>
      <c r="W181" t="s">
        <v>253</v>
      </c>
      <c r="X181" t="s">
        <v>497</v>
      </c>
      <c r="Z181" t="s">
        <v>779</v>
      </c>
      <c r="AB181" t="s">
        <v>53</v>
      </c>
      <c r="AC181">
        <v>51</v>
      </c>
      <c r="AD181" t="s">
        <v>501</v>
      </c>
    </row>
    <row r="182" spans="1:30" x14ac:dyDescent="0.2">
      <c r="A182" t="s">
        <v>780</v>
      </c>
      <c r="B182" t="s">
        <v>781</v>
      </c>
      <c r="C182">
        <v>10594271</v>
      </c>
      <c r="D182">
        <v>113844</v>
      </c>
      <c r="E182">
        <v>7374</v>
      </c>
      <c r="H182" s="3" t="s">
        <v>2067</v>
      </c>
      <c r="J182" s="3" t="s">
        <v>2083</v>
      </c>
      <c r="K182" t="s">
        <v>426</v>
      </c>
      <c r="R182" t="s">
        <v>218</v>
      </c>
      <c r="T182" t="s">
        <v>202</v>
      </c>
      <c r="W182" t="s">
        <v>320</v>
      </c>
      <c r="X182" t="s">
        <v>497</v>
      </c>
      <c r="Z182" t="s">
        <v>782</v>
      </c>
      <c r="AC182">
        <v>51</v>
      </c>
      <c r="AD182" t="s">
        <v>501</v>
      </c>
    </row>
    <row r="183" spans="1:30" x14ac:dyDescent="0.2">
      <c r="A183" t="s">
        <v>783</v>
      </c>
      <c r="B183" t="s">
        <v>784</v>
      </c>
      <c r="C183">
        <v>13279965</v>
      </c>
      <c r="D183">
        <v>195995</v>
      </c>
      <c r="E183">
        <v>10407</v>
      </c>
      <c r="H183" s="3" t="s">
        <v>2067</v>
      </c>
      <c r="J183" s="3" t="s">
        <v>2083</v>
      </c>
      <c r="K183" t="s">
        <v>470</v>
      </c>
      <c r="R183" t="s">
        <v>218</v>
      </c>
      <c r="T183" t="s">
        <v>202</v>
      </c>
      <c r="W183" t="s">
        <v>786</v>
      </c>
      <c r="X183" t="s">
        <v>497</v>
      </c>
      <c r="Z183" t="s">
        <v>785</v>
      </c>
      <c r="AC183">
        <v>51</v>
      </c>
      <c r="AD183" t="s">
        <v>501</v>
      </c>
    </row>
    <row r="184" spans="1:30" x14ac:dyDescent="0.2">
      <c r="A184" t="s">
        <v>787</v>
      </c>
      <c r="B184" t="s">
        <v>788</v>
      </c>
      <c r="C184">
        <v>28356564</v>
      </c>
      <c r="D184">
        <v>1875237</v>
      </c>
      <c r="E184">
        <v>14810</v>
      </c>
      <c r="H184" s="3" t="s">
        <v>2067</v>
      </c>
      <c r="J184" s="3" t="s">
        <v>2083</v>
      </c>
      <c r="K184" t="s">
        <v>275</v>
      </c>
      <c r="R184" t="s">
        <v>218</v>
      </c>
      <c r="T184" t="s">
        <v>202</v>
      </c>
      <c r="W184" t="s">
        <v>358</v>
      </c>
      <c r="X184" t="s">
        <v>497</v>
      </c>
      <c r="Z184" t="s">
        <v>789</v>
      </c>
      <c r="AB184" t="s">
        <v>53</v>
      </c>
      <c r="AC184">
        <v>51</v>
      </c>
      <c r="AD184" t="s">
        <v>501</v>
      </c>
    </row>
    <row r="185" spans="1:30" x14ac:dyDescent="0.2">
      <c r="A185" t="s">
        <v>790</v>
      </c>
      <c r="B185" t="s">
        <v>791</v>
      </c>
      <c r="C185">
        <v>10054828</v>
      </c>
      <c r="D185">
        <v>72435</v>
      </c>
      <c r="E185">
        <v>6733</v>
      </c>
      <c r="H185" s="3" t="s">
        <v>2067</v>
      </c>
      <c r="J185" s="3" t="s">
        <v>2083</v>
      </c>
      <c r="K185" t="s">
        <v>438</v>
      </c>
      <c r="R185" t="s">
        <v>218</v>
      </c>
      <c r="T185" t="s">
        <v>202</v>
      </c>
      <c r="W185" t="s">
        <v>793</v>
      </c>
      <c r="X185" t="s">
        <v>497</v>
      </c>
      <c r="Z185" t="s">
        <v>792</v>
      </c>
      <c r="AC185">
        <v>51</v>
      </c>
      <c r="AD185" t="s">
        <v>501</v>
      </c>
    </row>
    <row r="186" spans="1:30" x14ac:dyDescent="0.2">
      <c r="A186" t="s">
        <v>794</v>
      </c>
      <c r="B186" t="s">
        <v>795</v>
      </c>
      <c r="C186">
        <v>15919963</v>
      </c>
      <c r="D186">
        <v>241317</v>
      </c>
      <c r="E186">
        <v>12441</v>
      </c>
      <c r="H186" s="3" t="s">
        <v>2067</v>
      </c>
      <c r="J186" s="3" t="s">
        <v>2083</v>
      </c>
      <c r="K186" t="s">
        <v>238</v>
      </c>
      <c r="R186" t="s">
        <v>218</v>
      </c>
      <c r="T186" t="s">
        <v>202</v>
      </c>
      <c r="W186" t="s">
        <v>797</v>
      </c>
      <c r="X186" t="s">
        <v>497</v>
      </c>
      <c r="Z186" t="s">
        <v>796</v>
      </c>
      <c r="AC186">
        <v>51</v>
      </c>
      <c r="AD186" t="s">
        <v>501</v>
      </c>
    </row>
    <row r="187" spans="1:30" x14ac:dyDescent="0.2">
      <c r="A187" t="s">
        <v>798</v>
      </c>
      <c r="B187" t="s">
        <v>799</v>
      </c>
      <c r="C187">
        <v>11893183</v>
      </c>
      <c r="D187">
        <v>325142</v>
      </c>
      <c r="E187">
        <v>6397</v>
      </c>
      <c r="H187" s="3" t="s">
        <v>2067</v>
      </c>
      <c r="J187" s="3" t="s">
        <v>295</v>
      </c>
      <c r="K187" t="s">
        <v>434</v>
      </c>
      <c r="R187" t="s">
        <v>218</v>
      </c>
      <c r="T187" t="s">
        <v>202</v>
      </c>
      <c r="W187" t="s">
        <v>276</v>
      </c>
      <c r="X187" t="s">
        <v>497</v>
      </c>
      <c r="Z187" t="s">
        <v>800</v>
      </c>
      <c r="AB187" t="s">
        <v>53</v>
      </c>
      <c r="AC187">
        <v>51</v>
      </c>
      <c r="AD187" t="s">
        <v>501</v>
      </c>
    </row>
    <row r="188" spans="1:30" x14ac:dyDescent="0.2">
      <c r="A188" t="s">
        <v>801</v>
      </c>
      <c r="B188" t="s">
        <v>802</v>
      </c>
      <c r="C188">
        <v>19483052</v>
      </c>
      <c r="D188">
        <v>32223</v>
      </c>
      <c r="E188">
        <v>9045</v>
      </c>
      <c r="H188" s="3" t="s">
        <v>2067</v>
      </c>
      <c r="J188" t="s">
        <v>285</v>
      </c>
      <c r="K188" t="s">
        <v>804</v>
      </c>
      <c r="R188" t="s">
        <v>498</v>
      </c>
      <c r="T188" t="s">
        <v>503</v>
      </c>
      <c r="W188" t="s">
        <v>266</v>
      </c>
      <c r="X188" t="s">
        <v>497</v>
      </c>
      <c r="Z188" t="s">
        <v>803</v>
      </c>
      <c r="AC188">
        <v>8</v>
      </c>
      <c r="AD188" t="s">
        <v>501</v>
      </c>
    </row>
    <row r="189" spans="1:30" x14ac:dyDescent="0.2">
      <c r="A189" t="s">
        <v>805</v>
      </c>
      <c r="B189" t="s">
        <v>806</v>
      </c>
      <c r="C189">
        <v>2992477</v>
      </c>
      <c r="D189">
        <v>2517432</v>
      </c>
      <c r="E189">
        <v>1943</v>
      </c>
      <c r="H189" s="3" t="s">
        <v>2068</v>
      </c>
      <c r="J189" s="3" t="s">
        <v>2084</v>
      </c>
      <c r="K189" t="s">
        <v>257</v>
      </c>
      <c r="P189" t="s">
        <v>681</v>
      </c>
      <c r="R189" t="s">
        <v>218</v>
      </c>
      <c r="T189" t="s">
        <v>202</v>
      </c>
      <c r="W189" t="s">
        <v>808</v>
      </c>
      <c r="X189" t="s">
        <v>497</v>
      </c>
      <c r="Z189" t="s">
        <v>807</v>
      </c>
      <c r="AC189">
        <v>49</v>
      </c>
      <c r="AD189" t="s">
        <v>501</v>
      </c>
    </row>
    <row r="190" spans="1:30" x14ac:dyDescent="0.2">
      <c r="A190" t="s">
        <v>809</v>
      </c>
      <c r="B190" t="s">
        <v>810</v>
      </c>
      <c r="C190">
        <v>4184602</v>
      </c>
      <c r="D190">
        <v>3633616</v>
      </c>
      <c r="E190">
        <v>3265</v>
      </c>
      <c r="H190" s="3" t="s">
        <v>2068</v>
      </c>
      <c r="J190" s="3" t="s">
        <v>2084</v>
      </c>
      <c r="K190" t="s">
        <v>442</v>
      </c>
      <c r="P190" t="s">
        <v>681</v>
      </c>
      <c r="R190" t="s">
        <v>218</v>
      </c>
      <c r="T190" t="s">
        <v>202</v>
      </c>
      <c r="W190" t="s">
        <v>812</v>
      </c>
      <c r="X190" t="s">
        <v>497</v>
      </c>
      <c r="Z190" t="s">
        <v>811</v>
      </c>
      <c r="AC190">
        <v>50</v>
      </c>
      <c r="AD190" t="s">
        <v>501</v>
      </c>
    </row>
    <row r="191" spans="1:30" x14ac:dyDescent="0.2">
      <c r="A191" t="s">
        <v>813</v>
      </c>
      <c r="B191" t="s">
        <v>814</v>
      </c>
      <c r="C191">
        <v>4661992</v>
      </c>
      <c r="D191">
        <v>3886477</v>
      </c>
      <c r="E191">
        <v>2016</v>
      </c>
      <c r="H191" s="3" t="s">
        <v>2068</v>
      </c>
      <c r="J191" s="3" t="s">
        <v>2084</v>
      </c>
      <c r="K191" t="s">
        <v>466</v>
      </c>
      <c r="P191" t="s">
        <v>681</v>
      </c>
      <c r="R191" t="s">
        <v>218</v>
      </c>
      <c r="T191" t="s">
        <v>202</v>
      </c>
      <c r="W191" t="s">
        <v>398</v>
      </c>
      <c r="X191" t="s">
        <v>497</v>
      </c>
      <c r="Z191" t="s">
        <v>815</v>
      </c>
      <c r="AC191">
        <v>49</v>
      </c>
      <c r="AD191" t="s">
        <v>501</v>
      </c>
    </row>
    <row r="192" spans="1:30" x14ac:dyDescent="0.2">
      <c r="A192" t="s">
        <v>816</v>
      </c>
      <c r="B192" t="s">
        <v>817</v>
      </c>
      <c r="C192">
        <v>8681421</v>
      </c>
      <c r="D192">
        <v>7463058</v>
      </c>
      <c r="E192">
        <v>2536</v>
      </c>
      <c r="H192" s="3" t="s">
        <v>2068</v>
      </c>
      <c r="J192" s="3" t="s">
        <v>2084</v>
      </c>
      <c r="K192" t="s">
        <v>393</v>
      </c>
      <c r="P192" t="s">
        <v>681</v>
      </c>
      <c r="R192" t="s">
        <v>218</v>
      </c>
      <c r="T192" t="s">
        <v>202</v>
      </c>
      <c r="W192" t="s">
        <v>819</v>
      </c>
      <c r="X192" t="s">
        <v>497</v>
      </c>
      <c r="Z192" t="s">
        <v>818</v>
      </c>
      <c r="AC192">
        <v>50</v>
      </c>
      <c r="AD192" t="s">
        <v>501</v>
      </c>
    </row>
    <row r="193" spans="1:30" x14ac:dyDescent="0.2">
      <c r="A193" t="s">
        <v>820</v>
      </c>
      <c r="B193" t="s">
        <v>821</v>
      </c>
      <c r="C193">
        <v>3075088</v>
      </c>
      <c r="D193">
        <v>2436974</v>
      </c>
      <c r="E193">
        <v>1169</v>
      </c>
      <c r="H193" s="3" t="s">
        <v>2068</v>
      </c>
      <c r="J193" s="3" t="s">
        <v>2084</v>
      </c>
      <c r="K193" t="s">
        <v>406</v>
      </c>
      <c r="P193" t="s">
        <v>681</v>
      </c>
      <c r="R193" t="s">
        <v>218</v>
      </c>
      <c r="T193" t="s">
        <v>202</v>
      </c>
      <c r="W193" t="s">
        <v>368</v>
      </c>
      <c r="X193" t="s">
        <v>497</v>
      </c>
      <c r="Z193" t="s">
        <v>822</v>
      </c>
      <c r="AC193">
        <v>49</v>
      </c>
      <c r="AD193" t="s">
        <v>501</v>
      </c>
    </row>
    <row r="194" spans="1:30" x14ac:dyDescent="0.2">
      <c r="A194" t="s">
        <v>823</v>
      </c>
      <c r="B194" t="s">
        <v>824</v>
      </c>
      <c r="C194">
        <v>17969487</v>
      </c>
      <c r="D194">
        <v>17821336</v>
      </c>
      <c r="E194">
        <v>91</v>
      </c>
      <c r="H194" s="3" t="s">
        <v>2085</v>
      </c>
      <c r="J194" s="3" t="s">
        <v>2084</v>
      </c>
      <c r="K194" t="s">
        <v>422</v>
      </c>
      <c r="L194" t="s">
        <v>176</v>
      </c>
      <c r="M194" t="s">
        <v>1436</v>
      </c>
      <c r="R194" t="s">
        <v>218</v>
      </c>
      <c r="T194" t="s">
        <v>202</v>
      </c>
      <c r="W194" t="s">
        <v>134</v>
      </c>
      <c r="X194" t="s">
        <v>497</v>
      </c>
      <c r="Z194" t="s">
        <v>825</v>
      </c>
      <c r="AD194" t="s">
        <v>516</v>
      </c>
    </row>
    <row r="195" spans="1:30" x14ac:dyDescent="0.2">
      <c r="A195" t="s">
        <v>826</v>
      </c>
      <c r="B195" t="s">
        <v>827</v>
      </c>
      <c r="C195">
        <v>8583117</v>
      </c>
      <c r="D195">
        <v>8158713</v>
      </c>
      <c r="E195">
        <v>2739</v>
      </c>
      <c r="H195" s="3" t="s">
        <v>2069</v>
      </c>
      <c r="J195" s="3" t="s">
        <v>2084</v>
      </c>
      <c r="K195" t="s">
        <v>829</v>
      </c>
      <c r="L195" t="s">
        <v>176</v>
      </c>
      <c r="M195" t="s">
        <v>177</v>
      </c>
      <c r="R195" t="s">
        <v>218</v>
      </c>
      <c r="T195" t="s">
        <v>202</v>
      </c>
      <c r="W195" t="s">
        <v>830</v>
      </c>
      <c r="X195" t="s">
        <v>497</v>
      </c>
      <c r="Z195" t="s">
        <v>828</v>
      </c>
      <c r="AD195" t="s">
        <v>501</v>
      </c>
    </row>
    <row r="196" spans="1:30" x14ac:dyDescent="0.2">
      <c r="A196" t="s">
        <v>831</v>
      </c>
      <c r="B196" t="s">
        <v>832</v>
      </c>
      <c r="C196">
        <v>20598269</v>
      </c>
      <c r="D196">
        <v>31435</v>
      </c>
      <c r="E196">
        <v>9925</v>
      </c>
      <c r="H196" s="3" t="s">
        <v>2067</v>
      </c>
      <c r="J196" t="s">
        <v>295</v>
      </c>
      <c r="K196" t="s">
        <v>834</v>
      </c>
      <c r="R196" t="s">
        <v>498</v>
      </c>
      <c r="T196" t="s">
        <v>503</v>
      </c>
      <c r="W196" t="s">
        <v>379</v>
      </c>
      <c r="X196" t="s">
        <v>497</v>
      </c>
      <c r="Z196" t="s">
        <v>833</v>
      </c>
      <c r="AC196">
        <v>9</v>
      </c>
      <c r="AD196" t="s">
        <v>501</v>
      </c>
    </row>
    <row r="197" spans="1:30" x14ac:dyDescent="0.2">
      <c r="A197" t="s">
        <v>835</v>
      </c>
      <c r="B197" t="s">
        <v>836</v>
      </c>
      <c r="C197">
        <v>6134407</v>
      </c>
      <c r="D197">
        <v>67866</v>
      </c>
      <c r="E197">
        <v>2563</v>
      </c>
      <c r="F197" t="s">
        <v>840</v>
      </c>
      <c r="G197">
        <v>1</v>
      </c>
      <c r="H197" s="3" t="s">
        <v>2067</v>
      </c>
      <c r="I197" s="3" t="s">
        <v>838</v>
      </c>
      <c r="J197" s="3" t="s">
        <v>295</v>
      </c>
      <c r="K197" t="s">
        <v>482</v>
      </c>
      <c r="L197" t="s">
        <v>176</v>
      </c>
      <c r="M197" t="s">
        <v>844</v>
      </c>
      <c r="P197" t="s">
        <v>843</v>
      </c>
      <c r="R197" t="s">
        <v>85</v>
      </c>
      <c r="W197" t="s">
        <v>839</v>
      </c>
      <c r="X197" t="s">
        <v>837</v>
      </c>
      <c r="AA197" t="s">
        <v>841</v>
      </c>
      <c r="AB197" t="s">
        <v>842</v>
      </c>
      <c r="AC197">
        <v>25</v>
      </c>
    </row>
    <row r="198" spans="1:30" x14ac:dyDescent="0.2">
      <c r="A198" t="s">
        <v>845</v>
      </c>
      <c r="B198" t="s">
        <v>846</v>
      </c>
      <c r="C198">
        <v>21979541</v>
      </c>
      <c r="D198">
        <v>55293</v>
      </c>
      <c r="E198">
        <v>7698</v>
      </c>
      <c r="F198" t="s">
        <v>847</v>
      </c>
      <c r="G198">
        <v>2</v>
      </c>
      <c r="H198" s="3" t="s">
        <v>2067</v>
      </c>
      <c r="I198" s="3" t="s">
        <v>838</v>
      </c>
      <c r="J198" s="3" t="s">
        <v>295</v>
      </c>
      <c r="K198" t="s">
        <v>52</v>
      </c>
      <c r="L198" t="s">
        <v>176</v>
      </c>
      <c r="M198" t="s">
        <v>844</v>
      </c>
      <c r="P198" t="s">
        <v>843</v>
      </c>
      <c r="R198" t="s">
        <v>85</v>
      </c>
      <c r="W198" t="s">
        <v>848</v>
      </c>
      <c r="X198" t="s">
        <v>837</v>
      </c>
      <c r="AA198" t="s">
        <v>849</v>
      </c>
      <c r="AB198" t="s">
        <v>842</v>
      </c>
      <c r="AC198">
        <v>25</v>
      </c>
    </row>
    <row r="199" spans="1:30" x14ac:dyDescent="0.2">
      <c r="A199" t="s">
        <v>850</v>
      </c>
      <c r="B199" t="s">
        <v>851</v>
      </c>
      <c r="C199">
        <v>25081400</v>
      </c>
      <c r="D199">
        <v>1744160</v>
      </c>
      <c r="E199">
        <v>8793</v>
      </c>
      <c r="F199" t="s">
        <v>852</v>
      </c>
      <c r="G199">
        <v>3</v>
      </c>
      <c r="H199" s="3" t="s">
        <v>2067</v>
      </c>
      <c r="I199" s="3" t="s">
        <v>838</v>
      </c>
      <c r="J199" s="3" t="s">
        <v>295</v>
      </c>
      <c r="K199" t="s">
        <v>160</v>
      </c>
      <c r="L199" t="s">
        <v>176</v>
      </c>
      <c r="M199" t="s">
        <v>844</v>
      </c>
      <c r="P199" t="s">
        <v>843</v>
      </c>
      <c r="R199" t="s">
        <v>85</v>
      </c>
      <c r="W199" t="s">
        <v>839</v>
      </c>
      <c r="X199" t="s">
        <v>837</v>
      </c>
      <c r="AA199" t="s">
        <v>853</v>
      </c>
      <c r="AB199" t="s">
        <v>842</v>
      </c>
      <c r="AC199">
        <v>25</v>
      </c>
    </row>
    <row r="200" spans="1:30" x14ac:dyDescent="0.2">
      <c r="A200" t="s">
        <v>854</v>
      </c>
      <c r="B200" t="s">
        <v>855</v>
      </c>
      <c r="C200">
        <v>6586665</v>
      </c>
      <c r="D200">
        <v>118203</v>
      </c>
      <c r="E200">
        <v>2628</v>
      </c>
      <c r="F200" t="s">
        <v>840</v>
      </c>
      <c r="G200">
        <v>1</v>
      </c>
      <c r="H200" s="3" t="s">
        <v>2067</v>
      </c>
      <c r="I200" s="3" t="s">
        <v>838</v>
      </c>
      <c r="J200" s="3" t="s">
        <v>285</v>
      </c>
      <c r="K200" t="s">
        <v>76</v>
      </c>
      <c r="L200" t="s">
        <v>176</v>
      </c>
      <c r="M200" t="s">
        <v>844</v>
      </c>
      <c r="P200" t="s">
        <v>858</v>
      </c>
      <c r="R200" t="s">
        <v>85</v>
      </c>
      <c r="W200" t="s">
        <v>856</v>
      </c>
      <c r="X200" t="s">
        <v>837</v>
      </c>
      <c r="AA200" t="s">
        <v>857</v>
      </c>
      <c r="AB200" t="s">
        <v>842</v>
      </c>
      <c r="AC200">
        <v>25</v>
      </c>
    </row>
    <row r="201" spans="1:30" x14ac:dyDescent="0.2">
      <c r="A201" t="s">
        <v>859</v>
      </c>
      <c r="B201" t="s">
        <v>860</v>
      </c>
      <c r="C201">
        <v>1153887</v>
      </c>
      <c r="D201">
        <v>36381</v>
      </c>
      <c r="E201">
        <v>434</v>
      </c>
      <c r="F201" t="s">
        <v>861</v>
      </c>
      <c r="G201">
        <v>2</v>
      </c>
      <c r="H201" s="3" t="s">
        <v>2067</v>
      </c>
      <c r="I201" s="3" t="s">
        <v>838</v>
      </c>
      <c r="J201" s="3" t="s">
        <v>285</v>
      </c>
      <c r="K201" t="s">
        <v>59</v>
      </c>
      <c r="L201" t="s">
        <v>176</v>
      </c>
      <c r="M201" t="s">
        <v>844</v>
      </c>
      <c r="P201" t="s">
        <v>858</v>
      </c>
      <c r="R201" t="s">
        <v>85</v>
      </c>
      <c r="W201" t="s">
        <v>862</v>
      </c>
      <c r="X201" t="s">
        <v>837</v>
      </c>
      <c r="AA201" t="s">
        <v>863</v>
      </c>
      <c r="AB201" t="s">
        <v>842</v>
      </c>
      <c r="AC201">
        <v>25</v>
      </c>
    </row>
    <row r="202" spans="1:30" x14ac:dyDescent="0.2">
      <c r="A202" t="s">
        <v>864</v>
      </c>
      <c r="B202" t="s">
        <v>865</v>
      </c>
      <c r="C202">
        <v>27844448</v>
      </c>
      <c r="D202">
        <v>113997</v>
      </c>
      <c r="E202">
        <v>12821</v>
      </c>
      <c r="F202" t="s">
        <v>852</v>
      </c>
      <c r="G202">
        <v>3</v>
      </c>
      <c r="H202" s="3" t="s">
        <v>2067</v>
      </c>
      <c r="I202" s="3" t="s">
        <v>838</v>
      </c>
      <c r="J202" s="3" t="s">
        <v>285</v>
      </c>
      <c r="K202" t="s">
        <v>558</v>
      </c>
      <c r="L202" t="s">
        <v>176</v>
      </c>
      <c r="M202" t="s">
        <v>844</v>
      </c>
      <c r="P202" t="s">
        <v>858</v>
      </c>
      <c r="R202" t="s">
        <v>85</v>
      </c>
      <c r="W202" t="s">
        <v>866</v>
      </c>
      <c r="X202" t="s">
        <v>837</v>
      </c>
      <c r="AA202" t="s">
        <v>867</v>
      </c>
      <c r="AB202" t="s">
        <v>842</v>
      </c>
      <c r="AC202">
        <v>25</v>
      </c>
    </row>
    <row r="203" spans="1:30" x14ac:dyDescent="0.2">
      <c r="A203" t="s">
        <v>868</v>
      </c>
      <c r="B203" t="s">
        <v>869</v>
      </c>
      <c r="C203">
        <v>1700709</v>
      </c>
      <c r="D203">
        <v>159132</v>
      </c>
      <c r="E203">
        <v>651</v>
      </c>
      <c r="F203" t="s">
        <v>852</v>
      </c>
      <c r="G203">
        <v>3</v>
      </c>
      <c r="H203" s="3" t="s">
        <v>2068</v>
      </c>
      <c r="J203" s="3" t="s">
        <v>2084</v>
      </c>
      <c r="K203" t="s">
        <v>474</v>
      </c>
      <c r="L203" t="s">
        <v>176</v>
      </c>
      <c r="M203" t="s">
        <v>844</v>
      </c>
      <c r="P203" t="s">
        <v>858</v>
      </c>
      <c r="R203" t="s">
        <v>85</v>
      </c>
      <c r="W203" t="s">
        <v>871</v>
      </c>
      <c r="X203" t="s">
        <v>837</v>
      </c>
      <c r="AA203" t="s">
        <v>872</v>
      </c>
      <c r="AB203" t="s">
        <v>842</v>
      </c>
      <c r="AC203">
        <v>25</v>
      </c>
    </row>
    <row r="204" spans="1:30" x14ac:dyDescent="0.2">
      <c r="A204" t="s">
        <v>873</v>
      </c>
      <c r="B204" t="s">
        <v>874</v>
      </c>
      <c r="C204">
        <v>1695478</v>
      </c>
      <c r="D204">
        <v>75723</v>
      </c>
      <c r="E204">
        <v>574</v>
      </c>
      <c r="F204" t="s">
        <v>840</v>
      </c>
      <c r="G204">
        <v>1</v>
      </c>
      <c r="H204" s="3" t="s">
        <v>2067</v>
      </c>
      <c r="I204" s="3" t="s">
        <v>2081</v>
      </c>
      <c r="J204" s="3" t="s">
        <v>295</v>
      </c>
      <c r="K204" t="s">
        <v>34</v>
      </c>
      <c r="L204" t="s">
        <v>176</v>
      </c>
      <c r="M204" t="s">
        <v>844</v>
      </c>
      <c r="P204" t="s">
        <v>843</v>
      </c>
      <c r="R204" t="s">
        <v>85</v>
      </c>
      <c r="W204" t="s">
        <v>875</v>
      </c>
      <c r="X204" t="s">
        <v>837</v>
      </c>
      <c r="AA204" t="s">
        <v>876</v>
      </c>
      <c r="AB204" t="s">
        <v>842</v>
      </c>
      <c r="AC204">
        <v>25</v>
      </c>
    </row>
    <row r="205" spans="1:30" x14ac:dyDescent="0.2">
      <c r="A205" t="s">
        <v>877</v>
      </c>
      <c r="B205" t="s">
        <v>878</v>
      </c>
      <c r="C205">
        <v>1362904</v>
      </c>
      <c r="D205">
        <v>45502</v>
      </c>
      <c r="E205">
        <v>696</v>
      </c>
      <c r="F205" t="s">
        <v>879</v>
      </c>
      <c r="G205">
        <v>2</v>
      </c>
      <c r="H205" s="3" t="s">
        <v>2067</v>
      </c>
      <c r="I205" s="3" t="s">
        <v>2081</v>
      </c>
      <c r="J205" s="3" t="s">
        <v>295</v>
      </c>
      <c r="K205" t="s">
        <v>446</v>
      </c>
      <c r="L205" t="s">
        <v>176</v>
      </c>
      <c r="M205" t="s">
        <v>844</v>
      </c>
      <c r="P205" t="s">
        <v>843</v>
      </c>
      <c r="R205" t="s">
        <v>85</v>
      </c>
      <c r="W205" t="s">
        <v>880</v>
      </c>
      <c r="X205" t="s">
        <v>837</v>
      </c>
      <c r="AA205" t="s">
        <v>881</v>
      </c>
      <c r="AB205" t="s">
        <v>842</v>
      </c>
      <c r="AC205">
        <v>25</v>
      </c>
    </row>
    <row r="206" spans="1:30" x14ac:dyDescent="0.2">
      <c r="A206" t="s">
        <v>882</v>
      </c>
      <c r="B206" t="s">
        <v>883</v>
      </c>
      <c r="C206">
        <v>3924406</v>
      </c>
      <c r="D206">
        <v>194913</v>
      </c>
      <c r="E206">
        <v>2489</v>
      </c>
      <c r="F206" t="s">
        <v>852</v>
      </c>
      <c r="G206">
        <v>3</v>
      </c>
      <c r="H206" s="3" t="s">
        <v>2067</v>
      </c>
      <c r="I206" s="3" t="s">
        <v>2081</v>
      </c>
      <c r="J206" s="3" t="s">
        <v>295</v>
      </c>
      <c r="K206" t="s">
        <v>41</v>
      </c>
      <c r="L206" t="s">
        <v>176</v>
      </c>
      <c r="M206" t="s">
        <v>844</v>
      </c>
      <c r="P206" t="s">
        <v>843</v>
      </c>
      <c r="R206" t="s">
        <v>85</v>
      </c>
      <c r="W206" t="s">
        <v>871</v>
      </c>
      <c r="X206" t="s">
        <v>837</v>
      </c>
      <c r="AA206" t="s">
        <v>884</v>
      </c>
      <c r="AB206" t="s">
        <v>842</v>
      </c>
      <c r="AC206">
        <v>25</v>
      </c>
    </row>
    <row r="207" spans="1:30" x14ac:dyDescent="0.2">
      <c r="A207" t="s">
        <v>885</v>
      </c>
      <c r="B207" t="s">
        <v>886</v>
      </c>
      <c r="C207">
        <v>4937909</v>
      </c>
      <c r="D207">
        <v>3242200</v>
      </c>
      <c r="E207">
        <v>2423</v>
      </c>
      <c r="F207" t="s">
        <v>840</v>
      </c>
      <c r="G207">
        <v>1</v>
      </c>
      <c r="H207" s="3" t="s">
        <v>2067</v>
      </c>
      <c r="I207" s="3" t="s">
        <v>2081</v>
      </c>
      <c r="J207" s="3" t="s">
        <v>285</v>
      </c>
      <c r="K207" t="s">
        <v>193</v>
      </c>
      <c r="L207" t="s">
        <v>176</v>
      </c>
      <c r="M207" t="s">
        <v>844</v>
      </c>
      <c r="P207" t="s">
        <v>858</v>
      </c>
      <c r="R207" t="s">
        <v>85</v>
      </c>
      <c r="W207" t="s">
        <v>888</v>
      </c>
      <c r="X207" t="s">
        <v>837</v>
      </c>
      <c r="AA207" t="s">
        <v>889</v>
      </c>
      <c r="AB207" t="s">
        <v>842</v>
      </c>
      <c r="AC207">
        <v>25</v>
      </c>
    </row>
    <row r="208" spans="1:30" x14ac:dyDescent="0.2">
      <c r="A208" t="s">
        <v>890</v>
      </c>
      <c r="B208" t="s">
        <v>891</v>
      </c>
      <c r="C208">
        <v>15404079</v>
      </c>
      <c r="D208">
        <v>392589</v>
      </c>
      <c r="E208">
        <v>5758</v>
      </c>
      <c r="F208" t="s">
        <v>892</v>
      </c>
      <c r="G208">
        <v>2</v>
      </c>
      <c r="H208" s="3" t="s">
        <v>2067</v>
      </c>
      <c r="I208" s="3" t="s">
        <v>2081</v>
      </c>
      <c r="J208" s="3" t="s">
        <v>285</v>
      </c>
      <c r="K208" t="s">
        <v>252</v>
      </c>
      <c r="L208" t="s">
        <v>176</v>
      </c>
      <c r="M208" t="s">
        <v>844</v>
      </c>
      <c r="P208" t="s">
        <v>858</v>
      </c>
      <c r="R208" t="s">
        <v>85</v>
      </c>
      <c r="W208" t="s">
        <v>856</v>
      </c>
      <c r="X208" t="s">
        <v>837</v>
      </c>
      <c r="AA208" t="s">
        <v>893</v>
      </c>
      <c r="AB208" t="s">
        <v>842</v>
      </c>
      <c r="AC208">
        <v>25</v>
      </c>
    </row>
    <row r="209" spans="1:29" x14ac:dyDescent="0.2">
      <c r="A209" t="s">
        <v>894</v>
      </c>
      <c r="B209" t="s">
        <v>895</v>
      </c>
      <c r="C209">
        <v>8647797</v>
      </c>
      <c r="D209">
        <v>157999</v>
      </c>
      <c r="E209">
        <v>3944</v>
      </c>
      <c r="F209" t="s">
        <v>852</v>
      </c>
      <c r="G209">
        <v>3</v>
      </c>
      <c r="H209" s="3" t="s">
        <v>2067</v>
      </c>
      <c r="I209" s="3" t="s">
        <v>2081</v>
      </c>
      <c r="J209" s="3" t="s">
        <v>285</v>
      </c>
      <c r="K209" t="s">
        <v>92</v>
      </c>
      <c r="L209" t="s">
        <v>176</v>
      </c>
      <c r="M209" t="s">
        <v>844</v>
      </c>
      <c r="P209" t="s">
        <v>858</v>
      </c>
      <c r="R209" t="s">
        <v>85</v>
      </c>
      <c r="W209" t="s">
        <v>896</v>
      </c>
      <c r="X209" t="s">
        <v>837</v>
      </c>
      <c r="AA209" t="s">
        <v>897</v>
      </c>
      <c r="AB209" t="s">
        <v>842</v>
      </c>
      <c r="AC209">
        <v>25</v>
      </c>
    </row>
    <row r="210" spans="1:29" x14ac:dyDescent="0.2">
      <c r="A210" t="s">
        <v>898</v>
      </c>
      <c r="B210" t="s">
        <v>899</v>
      </c>
      <c r="C210">
        <v>1218081</v>
      </c>
      <c r="D210">
        <v>126540</v>
      </c>
      <c r="E210">
        <v>628</v>
      </c>
      <c r="F210" t="s">
        <v>840</v>
      </c>
      <c r="G210">
        <v>1</v>
      </c>
      <c r="H210" s="3" t="s">
        <v>2068</v>
      </c>
      <c r="J210" s="3" t="s">
        <v>2084</v>
      </c>
      <c r="K210" t="s">
        <v>418</v>
      </c>
      <c r="L210" t="s">
        <v>176</v>
      </c>
      <c r="M210" t="s">
        <v>844</v>
      </c>
      <c r="P210" t="s">
        <v>843</v>
      </c>
      <c r="R210" t="s">
        <v>85</v>
      </c>
      <c r="W210" t="s">
        <v>888</v>
      </c>
      <c r="X210" t="s">
        <v>837</v>
      </c>
      <c r="AA210" t="s">
        <v>900</v>
      </c>
      <c r="AB210" t="s">
        <v>842</v>
      </c>
      <c r="AC210">
        <v>25</v>
      </c>
    </row>
    <row r="211" spans="1:29" x14ac:dyDescent="0.2">
      <c r="A211" t="s">
        <v>901</v>
      </c>
      <c r="B211" t="s">
        <v>902</v>
      </c>
      <c r="C211">
        <v>1141198</v>
      </c>
      <c r="D211">
        <v>134859</v>
      </c>
      <c r="E211">
        <v>600</v>
      </c>
      <c r="F211" t="s">
        <v>861</v>
      </c>
      <c r="G211">
        <v>2</v>
      </c>
      <c r="H211" s="3" t="s">
        <v>2068</v>
      </c>
      <c r="J211" s="3" t="s">
        <v>2084</v>
      </c>
      <c r="K211" t="s">
        <v>188</v>
      </c>
      <c r="L211" t="s">
        <v>176</v>
      </c>
      <c r="M211" t="s">
        <v>844</v>
      </c>
      <c r="P211" t="s">
        <v>843</v>
      </c>
      <c r="R211" t="s">
        <v>85</v>
      </c>
      <c r="W211" t="s">
        <v>903</v>
      </c>
      <c r="X211" t="s">
        <v>837</v>
      </c>
      <c r="AA211" t="s">
        <v>904</v>
      </c>
      <c r="AB211" t="s">
        <v>842</v>
      </c>
      <c r="AC211">
        <v>25</v>
      </c>
    </row>
    <row r="212" spans="1:29" x14ac:dyDescent="0.2">
      <c r="A212" t="s">
        <v>905</v>
      </c>
      <c r="B212" t="s">
        <v>906</v>
      </c>
      <c r="C212">
        <v>2526778</v>
      </c>
      <c r="D212">
        <v>186758</v>
      </c>
      <c r="E212">
        <v>1575</v>
      </c>
      <c r="F212" t="s">
        <v>852</v>
      </c>
      <c r="G212">
        <v>3</v>
      </c>
      <c r="H212" s="3" t="s">
        <v>2068</v>
      </c>
      <c r="J212" s="3" t="s">
        <v>2084</v>
      </c>
      <c r="K212" t="s">
        <v>486</v>
      </c>
      <c r="L212" t="s">
        <v>176</v>
      </c>
      <c r="M212" t="s">
        <v>844</v>
      </c>
      <c r="P212" t="s">
        <v>843</v>
      </c>
      <c r="R212" t="s">
        <v>85</v>
      </c>
      <c r="W212" t="s">
        <v>907</v>
      </c>
      <c r="X212" t="s">
        <v>837</v>
      </c>
      <c r="AA212" t="s">
        <v>908</v>
      </c>
      <c r="AB212" t="s">
        <v>842</v>
      </c>
      <c r="AC212">
        <v>25</v>
      </c>
    </row>
    <row r="213" spans="1:29" x14ac:dyDescent="0.2">
      <c r="A213" t="s">
        <v>909</v>
      </c>
      <c r="B213" t="s">
        <v>910</v>
      </c>
      <c r="C213">
        <v>10298054</v>
      </c>
      <c r="D213">
        <v>926029</v>
      </c>
      <c r="E213">
        <v>3851</v>
      </c>
      <c r="F213" t="s">
        <v>840</v>
      </c>
      <c r="G213">
        <v>1</v>
      </c>
      <c r="H213" s="3" t="s">
        <v>2067</v>
      </c>
      <c r="I213" s="3" t="s">
        <v>2082</v>
      </c>
      <c r="K213" t="s">
        <v>413</v>
      </c>
      <c r="L213" t="s">
        <v>176</v>
      </c>
      <c r="M213" t="s">
        <v>844</v>
      </c>
      <c r="P213" t="s">
        <v>843</v>
      </c>
      <c r="R213" t="s">
        <v>85</v>
      </c>
      <c r="W213" t="s">
        <v>856</v>
      </c>
      <c r="X213" t="s">
        <v>837</v>
      </c>
      <c r="AA213" t="s">
        <v>911</v>
      </c>
      <c r="AB213" t="s">
        <v>842</v>
      </c>
      <c r="AC213">
        <v>25</v>
      </c>
    </row>
    <row r="214" spans="1:29" x14ac:dyDescent="0.2">
      <c r="A214" t="s">
        <v>912</v>
      </c>
      <c r="B214" t="s">
        <v>913</v>
      </c>
      <c r="C214">
        <v>10858758</v>
      </c>
      <c r="D214">
        <v>537990</v>
      </c>
      <c r="E214">
        <v>4636</v>
      </c>
      <c r="F214" t="s">
        <v>914</v>
      </c>
      <c r="G214">
        <v>2</v>
      </c>
      <c r="H214" s="3" t="s">
        <v>2067</v>
      </c>
      <c r="I214" s="3" t="s">
        <v>2082</v>
      </c>
      <c r="K214" t="s">
        <v>46</v>
      </c>
      <c r="L214" t="s">
        <v>176</v>
      </c>
      <c r="M214" t="s">
        <v>844</v>
      </c>
      <c r="P214" t="s">
        <v>843</v>
      </c>
      <c r="R214" t="s">
        <v>85</v>
      </c>
      <c r="W214" t="s">
        <v>856</v>
      </c>
      <c r="X214" t="s">
        <v>837</v>
      </c>
      <c r="AA214" t="s">
        <v>915</v>
      </c>
      <c r="AB214" t="s">
        <v>842</v>
      </c>
      <c r="AC214">
        <v>25</v>
      </c>
    </row>
    <row r="215" spans="1:29" x14ac:dyDescent="0.2">
      <c r="A215" t="s">
        <v>916</v>
      </c>
      <c r="B215" t="s">
        <v>917</v>
      </c>
      <c r="C215">
        <v>17507633</v>
      </c>
      <c r="D215">
        <v>800136</v>
      </c>
      <c r="E215">
        <v>6585</v>
      </c>
      <c r="F215" t="s">
        <v>852</v>
      </c>
      <c r="G215">
        <v>3</v>
      </c>
      <c r="H215" s="3" t="s">
        <v>2067</v>
      </c>
      <c r="I215" s="3" t="s">
        <v>2082</v>
      </c>
      <c r="K215" t="s">
        <v>87</v>
      </c>
      <c r="L215" t="s">
        <v>176</v>
      </c>
      <c r="M215" t="s">
        <v>844</v>
      </c>
      <c r="P215" t="s">
        <v>843</v>
      </c>
      <c r="R215" t="s">
        <v>85</v>
      </c>
      <c r="W215" t="s">
        <v>918</v>
      </c>
      <c r="X215" t="s">
        <v>837</v>
      </c>
      <c r="AA215" t="s">
        <v>919</v>
      </c>
      <c r="AB215" t="s">
        <v>842</v>
      </c>
      <c r="AC215">
        <v>25</v>
      </c>
    </row>
    <row r="216" spans="1:29" x14ac:dyDescent="0.2">
      <c r="A216" t="s">
        <v>920</v>
      </c>
      <c r="B216" t="s">
        <v>921</v>
      </c>
      <c r="C216">
        <v>6246560</v>
      </c>
      <c r="D216">
        <v>183311</v>
      </c>
      <c r="E216">
        <v>2231</v>
      </c>
      <c r="F216" t="s">
        <v>840</v>
      </c>
      <c r="G216">
        <v>1</v>
      </c>
      <c r="H216" s="3" t="s">
        <v>2067</v>
      </c>
      <c r="I216" s="3" t="s">
        <v>2082</v>
      </c>
      <c r="K216" t="s">
        <v>27</v>
      </c>
      <c r="L216" t="s">
        <v>176</v>
      </c>
      <c r="M216" t="s">
        <v>844</v>
      </c>
      <c r="P216" t="s">
        <v>858</v>
      </c>
      <c r="R216" t="s">
        <v>85</v>
      </c>
      <c r="W216" t="s">
        <v>848</v>
      </c>
      <c r="X216" t="s">
        <v>837</v>
      </c>
      <c r="AA216" t="s">
        <v>922</v>
      </c>
      <c r="AB216" t="s">
        <v>842</v>
      </c>
      <c r="AC216">
        <v>25</v>
      </c>
    </row>
    <row r="217" spans="1:29" x14ac:dyDescent="0.2">
      <c r="A217" t="s">
        <v>923</v>
      </c>
      <c r="B217" t="s">
        <v>924</v>
      </c>
      <c r="C217">
        <v>15737693</v>
      </c>
      <c r="D217">
        <v>775879</v>
      </c>
      <c r="E217">
        <v>5919</v>
      </c>
      <c r="F217" t="s">
        <v>925</v>
      </c>
      <c r="G217">
        <v>2</v>
      </c>
      <c r="H217" s="3" t="s">
        <v>2067</v>
      </c>
      <c r="I217" s="3" t="s">
        <v>2082</v>
      </c>
      <c r="K217" t="s">
        <v>65</v>
      </c>
      <c r="L217" t="s">
        <v>176</v>
      </c>
      <c r="M217" t="s">
        <v>844</v>
      </c>
      <c r="P217" t="s">
        <v>858</v>
      </c>
      <c r="R217" t="s">
        <v>85</v>
      </c>
      <c r="W217" t="s">
        <v>903</v>
      </c>
      <c r="X217" t="s">
        <v>837</v>
      </c>
      <c r="AA217" t="s">
        <v>926</v>
      </c>
      <c r="AB217" t="s">
        <v>842</v>
      </c>
      <c r="AC217">
        <v>25</v>
      </c>
    </row>
    <row r="218" spans="1:29" x14ac:dyDescent="0.2">
      <c r="A218" t="s">
        <v>927</v>
      </c>
      <c r="B218" t="s">
        <v>928</v>
      </c>
      <c r="C218">
        <v>22632167</v>
      </c>
      <c r="D218">
        <v>690553</v>
      </c>
      <c r="E218">
        <v>8665</v>
      </c>
      <c r="F218" t="s">
        <v>852</v>
      </c>
      <c r="G218">
        <v>3</v>
      </c>
      <c r="H218" s="3" t="s">
        <v>2067</v>
      </c>
      <c r="I218" s="3" t="s">
        <v>2082</v>
      </c>
      <c r="K218" t="s">
        <v>81</v>
      </c>
      <c r="L218" t="s">
        <v>176</v>
      </c>
      <c r="M218" t="s">
        <v>844</v>
      </c>
      <c r="P218" t="s">
        <v>858</v>
      </c>
      <c r="R218" t="s">
        <v>85</v>
      </c>
      <c r="W218" t="s">
        <v>907</v>
      </c>
      <c r="X218" t="s">
        <v>837</v>
      </c>
      <c r="AA218" t="s">
        <v>929</v>
      </c>
      <c r="AB218" t="s">
        <v>842</v>
      </c>
      <c r="AC218">
        <v>25</v>
      </c>
    </row>
    <row r="219" spans="1:29" x14ac:dyDescent="0.2">
      <c r="A219" t="s">
        <v>930</v>
      </c>
      <c r="B219" t="s">
        <v>931</v>
      </c>
      <c r="C219">
        <v>27968211</v>
      </c>
      <c r="D219">
        <v>84126</v>
      </c>
      <c r="E219">
        <v>10237</v>
      </c>
      <c r="F219" t="s">
        <v>840</v>
      </c>
      <c r="G219">
        <v>1</v>
      </c>
      <c r="H219" s="3" t="s">
        <v>2067</v>
      </c>
      <c r="I219" s="3" t="s">
        <v>838</v>
      </c>
      <c r="K219" t="s">
        <v>225</v>
      </c>
      <c r="L219" t="s">
        <v>176</v>
      </c>
      <c r="M219" t="s">
        <v>844</v>
      </c>
      <c r="P219" t="s">
        <v>858</v>
      </c>
      <c r="R219" t="s">
        <v>85</v>
      </c>
      <c r="W219" t="s">
        <v>848</v>
      </c>
      <c r="X219" t="s">
        <v>837</v>
      </c>
      <c r="AA219" t="s">
        <v>932</v>
      </c>
      <c r="AB219" t="s">
        <v>842</v>
      </c>
      <c r="AC219">
        <v>26</v>
      </c>
    </row>
    <row r="220" spans="1:29" x14ac:dyDescent="0.2">
      <c r="A220" t="s">
        <v>933</v>
      </c>
      <c r="B220" t="s">
        <v>934</v>
      </c>
      <c r="C220">
        <v>25323449</v>
      </c>
      <c r="D220">
        <v>71646</v>
      </c>
      <c r="E220">
        <v>8963</v>
      </c>
      <c r="F220" t="s">
        <v>935</v>
      </c>
      <c r="G220">
        <v>2</v>
      </c>
      <c r="H220" s="3" t="s">
        <v>2067</v>
      </c>
      <c r="I220" s="3" t="s">
        <v>838</v>
      </c>
      <c r="K220" t="s">
        <v>70</v>
      </c>
      <c r="L220" t="s">
        <v>176</v>
      </c>
      <c r="M220" t="s">
        <v>844</v>
      </c>
      <c r="P220" t="s">
        <v>858</v>
      </c>
      <c r="R220" t="s">
        <v>85</v>
      </c>
      <c r="W220" t="s">
        <v>856</v>
      </c>
      <c r="X220" t="s">
        <v>837</v>
      </c>
      <c r="AA220" t="s">
        <v>936</v>
      </c>
      <c r="AB220" t="s">
        <v>842</v>
      </c>
      <c r="AC220">
        <v>26</v>
      </c>
    </row>
    <row r="221" spans="1:29" x14ac:dyDescent="0.2">
      <c r="A221" t="s">
        <v>937</v>
      </c>
      <c r="B221" t="s">
        <v>938</v>
      </c>
      <c r="C221">
        <v>26393591</v>
      </c>
      <c r="D221">
        <v>79991</v>
      </c>
      <c r="E221">
        <v>12139</v>
      </c>
      <c r="F221" t="s">
        <v>939</v>
      </c>
      <c r="G221">
        <v>3</v>
      </c>
      <c r="H221" s="3" t="s">
        <v>2067</v>
      </c>
      <c r="I221" s="3" t="s">
        <v>838</v>
      </c>
      <c r="K221" t="s">
        <v>454</v>
      </c>
      <c r="L221" t="s">
        <v>176</v>
      </c>
      <c r="M221" t="s">
        <v>844</v>
      </c>
      <c r="P221" t="s">
        <v>858</v>
      </c>
      <c r="R221" t="s">
        <v>85</v>
      </c>
      <c r="W221" t="s">
        <v>871</v>
      </c>
      <c r="X221" t="s">
        <v>837</v>
      </c>
      <c r="AA221" t="s">
        <v>940</v>
      </c>
      <c r="AB221" t="s">
        <v>842</v>
      </c>
      <c r="AC221">
        <v>26</v>
      </c>
    </row>
    <row r="222" spans="1:29" x14ac:dyDescent="0.2">
      <c r="A222" t="s">
        <v>941</v>
      </c>
      <c r="B222" t="s">
        <v>942</v>
      </c>
      <c r="C222">
        <v>22600823</v>
      </c>
      <c r="D222">
        <v>76209</v>
      </c>
      <c r="E222">
        <v>9362</v>
      </c>
      <c r="F222" t="s">
        <v>840</v>
      </c>
      <c r="G222">
        <v>1</v>
      </c>
      <c r="H222" s="3" t="s">
        <v>2067</v>
      </c>
      <c r="I222" s="3" t="s">
        <v>838</v>
      </c>
      <c r="K222" t="s">
        <v>430</v>
      </c>
      <c r="L222" t="s">
        <v>176</v>
      </c>
      <c r="M222" t="s">
        <v>844</v>
      </c>
      <c r="P222" t="s">
        <v>843</v>
      </c>
      <c r="R222" t="s">
        <v>85</v>
      </c>
      <c r="W222" t="s">
        <v>887</v>
      </c>
      <c r="X222" t="s">
        <v>837</v>
      </c>
      <c r="AA222" t="s">
        <v>943</v>
      </c>
      <c r="AB222" t="s">
        <v>842</v>
      </c>
      <c r="AC222">
        <v>26</v>
      </c>
    </row>
    <row r="223" spans="1:29" x14ac:dyDescent="0.2">
      <c r="A223" t="s">
        <v>944</v>
      </c>
      <c r="B223" t="s">
        <v>945</v>
      </c>
      <c r="C223">
        <v>23500384</v>
      </c>
      <c r="D223">
        <v>60524</v>
      </c>
      <c r="E223">
        <v>7880</v>
      </c>
      <c r="F223" t="s">
        <v>935</v>
      </c>
      <c r="G223">
        <v>2</v>
      </c>
      <c r="H223" s="3" t="s">
        <v>2067</v>
      </c>
      <c r="I223" s="3" t="s">
        <v>838</v>
      </c>
      <c r="K223" t="s">
        <v>314</v>
      </c>
      <c r="L223" t="s">
        <v>176</v>
      </c>
      <c r="M223" t="s">
        <v>844</v>
      </c>
      <c r="P223" t="s">
        <v>843</v>
      </c>
      <c r="R223" t="s">
        <v>85</v>
      </c>
      <c r="W223" t="s">
        <v>862</v>
      </c>
      <c r="X223" t="s">
        <v>837</v>
      </c>
      <c r="AA223" t="s">
        <v>946</v>
      </c>
      <c r="AB223" t="s">
        <v>842</v>
      </c>
      <c r="AC223">
        <v>26</v>
      </c>
    </row>
    <row r="224" spans="1:29" x14ac:dyDescent="0.2">
      <c r="A224" t="s">
        <v>947</v>
      </c>
      <c r="B224" t="s">
        <v>948</v>
      </c>
      <c r="C224">
        <v>27849090</v>
      </c>
      <c r="D224">
        <v>761793</v>
      </c>
      <c r="E224">
        <v>9457</v>
      </c>
      <c r="F224" t="s">
        <v>939</v>
      </c>
      <c r="G224">
        <v>3</v>
      </c>
      <c r="H224" s="3" t="s">
        <v>2067</v>
      </c>
      <c r="I224" s="3" t="s">
        <v>838</v>
      </c>
      <c r="K224" t="s">
        <v>284</v>
      </c>
      <c r="L224" t="s">
        <v>176</v>
      </c>
      <c r="M224" t="s">
        <v>844</v>
      </c>
      <c r="P224" t="s">
        <v>843</v>
      </c>
      <c r="R224" t="s">
        <v>85</v>
      </c>
      <c r="W224" t="s">
        <v>866</v>
      </c>
      <c r="X224" t="s">
        <v>837</v>
      </c>
      <c r="AA224" t="s">
        <v>949</v>
      </c>
      <c r="AB224" t="s">
        <v>842</v>
      </c>
      <c r="AC224">
        <v>26</v>
      </c>
    </row>
    <row r="225" spans="1:29" x14ac:dyDescent="0.2">
      <c r="A225" t="s">
        <v>950</v>
      </c>
      <c r="B225" t="s">
        <v>951</v>
      </c>
      <c r="C225">
        <v>461945</v>
      </c>
      <c r="D225">
        <v>24543</v>
      </c>
      <c r="E225">
        <v>322</v>
      </c>
      <c r="F225" t="s">
        <v>840</v>
      </c>
      <c r="G225">
        <v>1</v>
      </c>
      <c r="H225" s="3" t="s">
        <v>2068</v>
      </c>
      <c r="K225" t="s">
        <v>143</v>
      </c>
      <c r="L225" t="s">
        <v>176</v>
      </c>
      <c r="M225" t="s">
        <v>844</v>
      </c>
      <c r="P225" t="s">
        <v>858</v>
      </c>
      <c r="R225" t="s">
        <v>85</v>
      </c>
      <c r="W225" t="s">
        <v>862</v>
      </c>
      <c r="X225" t="s">
        <v>837</v>
      </c>
      <c r="AA225" t="s">
        <v>952</v>
      </c>
      <c r="AB225" t="s">
        <v>842</v>
      </c>
      <c r="AC225">
        <v>26</v>
      </c>
    </row>
    <row r="226" spans="1:29" x14ac:dyDescent="0.2">
      <c r="A226" t="s">
        <v>953</v>
      </c>
      <c r="B226" t="s">
        <v>954</v>
      </c>
      <c r="C226">
        <v>716174</v>
      </c>
      <c r="D226">
        <v>125628</v>
      </c>
      <c r="E226">
        <v>232</v>
      </c>
      <c r="F226" t="s">
        <v>935</v>
      </c>
      <c r="G226">
        <v>2</v>
      </c>
      <c r="H226" s="3" t="s">
        <v>2068</v>
      </c>
      <c r="K226" t="s">
        <v>149</v>
      </c>
      <c r="L226" t="s">
        <v>176</v>
      </c>
      <c r="M226" t="s">
        <v>844</v>
      </c>
      <c r="P226" t="s">
        <v>858</v>
      </c>
      <c r="R226" t="s">
        <v>85</v>
      </c>
      <c r="W226" t="s">
        <v>955</v>
      </c>
      <c r="X226" t="s">
        <v>837</v>
      </c>
      <c r="AA226" t="s">
        <v>956</v>
      </c>
      <c r="AB226" t="s">
        <v>842</v>
      </c>
      <c r="AC226">
        <v>26</v>
      </c>
    </row>
    <row r="227" spans="1:29" x14ac:dyDescent="0.2">
      <c r="A227" t="s">
        <v>957</v>
      </c>
      <c r="B227" t="s">
        <v>958</v>
      </c>
      <c r="C227">
        <v>618934</v>
      </c>
      <c r="D227">
        <v>132653</v>
      </c>
      <c r="E227">
        <v>329</v>
      </c>
      <c r="F227" t="s">
        <v>939</v>
      </c>
      <c r="G227">
        <v>3</v>
      </c>
      <c r="H227" s="3" t="s">
        <v>2068</v>
      </c>
      <c r="K227" t="s">
        <v>334</v>
      </c>
      <c r="L227" t="s">
        <v>176</v>
      </c>
      <c r="M227" t="s">
        <v>844</v>
      </c>
      <c r="P227" t="s">
        <v>858</v>
      </c>
      <c r="R227" t="s">
        <v>85</v>
      </c>
      <c r="W227" t="s">
        <v>959</v>
      </c>
      <c r="X227" t="s">
        <v>837</v>
      </c>
      <c r="AA227" t="s">
        <v>960</v>
      </c>
      <c r="AB227" t="s">
        <v>842</v>
      </c>
      <c r="AC227">
        <v>26</v>
      </c>
    </row>
    <row r="228" spans="1:29" x14ac:dyDescent="0.2">
      <c r="A228" t="s">
        <v>961</v>
      </c>
      <c r="B228" t="s">
        <v>962</v>
      </c>
      <c r="C228">
        <v>25001342</v>
      </c>
      <c r="D228">
        <v>276840</v>
      </c>
      <c r="E228">
        <v>9797</v>
      </c>
      <c r="F228" t="s">
        <v>840</v>
      </c>
      <c r="G228">
        <v>1</v>
      </c>
      <c r="H228" s="3" t="s">
        <v>2067</v>
      </c>
      <c r="I228" s="3" t="s">
        <v>2081</v>
      </c>
      <c r="K228" t="s">
        <v>214</v>
      </c>
      <c r="L228" t="s">
        <v>176</v>
      </c>
      <c r="M228" t="s">
        <v>844</v>
      </c>
      <c r="P228" t="s">
        <v>858</v>
      </c>
      <c r="R228" t="s">
        <v>85</v>
      </c>
      <c r="W228" t="s">
        <v>964</v>
      </c>
      <c r="X228" t="s">
        <v>837</v>
      </c>
      <c r="AA228" t="s">
        <v>965</v>
      </c>
      <c r="AB228" t="s">
        <v>842</v>
      </c>
      <c r="AC228">
        <v>26</v>
      </c>
    </row>
    <row r="229" spans="1:29" x14ac:dyDescent="0.2">
      <c r="A229" t="s">
        <v>966</v>
      </c>
      <c r="B229" t="s">
        <v>967</v>
      </c>
      <c r="C229">
        <v>20135891</v>
      </c>
      <c r="D229">
        <v>187745</v>
      </c>
      <c r="E229">
        <v>6967</v>
      </c>
      <c r="F229" t="s">
        <v>935</v>
      </c>
      <c r="G229">
        <v>2</v>
      </c>
      <c r="H229" s="3" t="s">
        <v>2067</v>
      </c>
      <c r="I229" s="3" t="s">
        <v>2081</v>
      </c>
      <c r="K229" t="s">
        <v>342</v>
      </c>
      <c r="L229" t="s">
        <v>176</v>
      </c>
      <c r="M229" t="s">
        <v>844</v>
      </c>
      <c r="P229" t="s">
        <v>858</v>
      </c>
      <c r="R229" t="s">
        <v>85</v>
      </c>
      <c r="W229" t="s">
        <v>848</v>
      </c>
      <c r="X229" t="s">
        <v>837</v>
      </c>
      <c r="AA229" t="s">
        <v>968</v>
      </c>
      <c r="AB229" t="s">
        <v>842</v>
      </c>
      <c r="AC229">
        <v>26</v>
      </c>
    </row>
    <row r="230" spans="1:29" x14ac:dyDescent="0.2">
      <c r="A230" t="s">
        <v>969</v>
      </c>
      <c r="B230" t="s">
        <v>970</v>
      </c>
      <c r="C230">
        <v>19664018</v>
      </c>
      <c r="D230">
        <v>1398012</v>
      </c>
      <c r="E230">
        <v>7017</v>
      </c>
      <c r="F230" t="s">
        <v>939</v>
      </c>
      <c r="G230">
        <v>3</v>
      </c>
      <c r="H230" s="3" t="s">
        <v>2067</v>
      </c>
      <c r="I230" s="3" t="s">
        <v>2081</v>
      </c>
      <c r="K230" t="s">
        <v>99</v>
      </c>
      <c r="L230" t="s">
        <v>176</v>
      </c>
      <c r="M230" t="s">
        <v>844</v>
      </c>
      <c r="P230" t="s">
        <v>858</v>
      </c>
      <c r="R230" t="s">
        <v>85</v>
      </c>
      <c r="W230" t="s">
        <v>839</v>
      </c>
      <c r="X230" t="s">
        <v>837</v>
      </c>
      <c r="AA230" t="s">
        <v>971</v>
      </c>
      <c r="AB230" t="s">
        <v>842</v>
      </c>
      <c r="AC230">
        <v>26</v>
      </c>
    </row>
    <row r="231" spans="1:29" x14ac:dyDescent="0.2">
      <c r="A231" t="s">
        <v>972</v>
      </c>
      <c r="B231" t="s">
        <v>973</v>
      </c>
      <c r="C231">
        <v>20762706</v>
      </c>
      <c r="D231">
        <v>557526</v>
      </c>
      <c r="E231">
        <v>8596</v>
      </c>
      <c r="F231" t="s">
        <v>840</v>
      </c>
      <c r="G231">
        <v>1</v>
      </c>
      <c r="H231" s="3" t="s">
        <v>2067</v>
      </c>
      <c r="I231" s="3" t="s">
        <v>2081</v>
      </c>
      <c r="K231" t="s">
        <v>114</v>
      </c>
      <c r="L231" t="s">
        <v>176</v>
      </c>
      <c r="M231" t="s">
        <v>844</v>
      </c>
      <c r="P231" t="s">
        <v>843</v>
      </c>
      <c r="R231" t="s">
        <v>85</v>
      </c>
      <c r="W231" t="s">
        <v>903</v>
      </c>
      <c r="X231" t="s">
        <v>837</v>
      </c>
      <c r="AA231" t="s">
        <v>974</v>
      </c>
      <c r="AB231" t="s">
        <v>842</v>
      </c>
      <c r="AC231">
        <v>26</v>
      </c>
    </row>
    <row r="232" spans="1:29" x14ac:dyDescent="0.2">
      <c r="A232" t="s">
        <v>975</v>
      </c>
      <c r="B232" t="s">
        <v>976</v>
      </c>
      <c r="C232">
        <v>3811311</v>
      </c>
      <c r="D232">
        <v>170127</v>
      </c>
      <c r="E232">
        <v>1241</v>
      </c>
      <c r="F232" t="s">
        <v>935</v>
      </c>
      <c r="G232">
        <v>2</v>
      </c>
      <c r="H232" s="3" t="s">
        <v>2067</v>
      </c>
      <c r="I232" s="3" t="s">
        <v>2081</v>
      </c>
      <c r="K232" t="s">
        <v>478</v>
      </c>
      <c r="L232" t="s">
        <v>176</v>
      </c>
      <c r="M232" t="s">
        <v>844</v>
      </c>
      <c r="P232" t="s">
        <v>843</v>
      </c>
      <c r="R232" t="s">
        <v>85</v>
      </c>
      <c r="W232" t="s">
        <v>977</v>
      </c>
      <c r="X232" t="s">
        <v>837</v>
      </c>
      <c r="AA232" t="s">
        <v>978</v>
      </c>
      <c r="AB232" t="s">
        <v>842</v>
      </c>
      <c r="AC232">
        <v>26</v>
      </c>
    </row>
    <row r="233" spans="1:29" x14ac:dyDescent="0.2">
      <c r="A233" t="s">
        <v>979</v>
      </c>
      <c r="B233" t="s">
        <v>980</v>
      </c>
      <c r="C233">
        <v>23737387</v>
      </c>
      <c r="D233">
        <v>380793</v>
      </c>
      <c r="E233">
        <v>8677</v>
      </c>
      <c r="F233" t="s">
        <v>939</v>
      </c>
      <c r="G233">
        <v>3</v>
      </c>
      <c r="H233" s="3" t="s">
        <v>2067</v>
      </c>
      <c r="I233" s="3" t="s">
        <v>2081</v>
      </c>
      <c r="K233" t="s">
        <v>210</v>
      </c>
      <c r="L233" t="s">
        <v>176</v>
      </c>
      <c r="M233" t="s">
        <v>844</v>
      </c>
      <c r="P233" t="s">
        <v>843</v>
      </c>
      <c r="R233" t="s">
        <v>85</v>
      </c>
      <c r="W233" t="s">
        <v>888</v>
      </c>
      <c r="X233" t="s">
        <v>837</v>
      </c>
      <c r="AA233" t="s">
        <v>981</v>
      </c>
      <c r="AB233" t="s">
        <v>842</v>
      </c>
      <c r="AC233">
        <v>26</v>
      </c>
    </row>
    <row r="234" spans="1:29" x14ac:dyDescent="0.2">
      <c r="A234" t="s">
        <v>982</v>
      </c>
      <c r="B234" t="s">
        <v>983</v>
      </c>
      <c r="C234">
        <v>1572421</v>
      </c>
      <c r="D234">
        <v>275707</v>
      </c>
      <c r="E234">
        <v>737</v>
      </c>
      <c r="F234" t="s">
        <v>935</v>
      </c>
      <c r="G234">
        <v>2</v>
      </c>
      <c r="H234" s="3" t="s">
        <v>2068</v>
      </c>
      <c r="K234" t="s">
        <v>109</v>
      </c>
      <c r="L234" t="s">
        <v>176</v>
      </c>
      <c r="M234" t="s">
        <v>844</v>
      </c>
      <c r="P234" t="s">
        <v>843</v>
      </c>
      <c r="R234" t="s">
        <v>85</v>
      </c>
      <c r="W234" t="s">
        <v>35</v>
      </c>
      <c r="X234" t="s">
        <v>837</v>
      </c>
      <c r="AA234" t="s">
        <v>984</v>
      </c>
      <c r="AB234" t="s">
        <v>842</v>
      </c>
      <c r="AC234">
        <v>26</v>
      </c>
    </row>
    <row r="235" spans="1:29" x14ac:dyDescent="0.2">
      <c r="A235" t="s">
        <v>985</v>
      </c>
      <c r="B235" t="s">
        <v>986</v>
      </c>
      <c r="C235">
        <v>1109553</v>
      </c>
      <c r="D235">
        <v>410025</v>
      </c>
      <c r="E235">
        <v>644</v>
      </c>
      <c r="F235" t="s">
        <v>939</v>
      </c>
      <c r="G235">
        <v>3</v>
      </c>
      <c r="H235" s="3" t="s">
        <v>2068</v>
      </c>
      <c r="K235" t="s">
        <v>104</v>
      </c>
      <c r="L235" t="s">
        <v>176</v>
      </c>
      <c r="M235" t="s">
        <v>844</v>
      </c>
      <c r="P235" t="s">
        <v>843</v>
      </c>
      <c r="R235" t="s">
        <v>85</v>
      </c>
      <c r="W235" t="s">
        <v>888</v>
      </c>
      <c r="X235" t="s">
        <v>837</v>
      </c>
      <c r="AA235" t="s">
        <v>987</v>
      </c>
      <c r="AB235" t="s">
        <v>842</v>
      </c>
      <c r="AC235">
        <v>26</v>
      </c>
    </row>
    <row r="236" spans="1:29" x14ac:dyDescent="0.2">
      <c r="A236" t="s">
        <v>988</v>
      </c>
      <c r="B236" t="s">
        <v>989</v>
      </c>
      <c r="C236">
        <v>21104268</v>
      </c>
      <c r="D236">
        <v>1388872</v>
      </c>
      <c r="E236">
        <v>8068</v>
      </c>
      <c r="F236" t="s">
        <v>840</v>
      </c>
      <c r="G236">
        <v>1</v>
      </c>
      <c r="H236" s="3" t="s">
        <v>2067</v>
      </c>
      <c r="I236" s="3" t="s">
        <v>2082</v>
      </c>
      <c r="K236" t="s">
        <v>367</v>
      </c>
      <c r="L236" t="s">
        <v>176</v>
      </c>
      <c r="M236" t="s">
        <v>844</v>
      </c>
      <c r="P236" t="s">
        <v>858</v>
      </c>
      <c r="R236" t="s">
        <v>85</v>
      </c>
      <c r="W236" t="s">
        <v>903</v>
      </c>
      <c r="X236" t="s">
        <v>837</v>
      </c>
      <c r="AA236" t="s">
        <v>990</v>
      </c>
      <c r="AB236" t="s">
        <v>842</v>
      </c>
      <c r="AC236">
        <v>26</v>
      </c>
    </row>
    <row r="237" spans="1:29" x14ac:dyDescent="0.2">
      <c r="A237" t="s">
        <v>991</v>
      </c>
      <c r="B237" t="s">
        <v>992</v>
      </c>
      <c r="C237">
        <v>13324654</v>
      </c>
      <c r="D237">
        <v>3228527</v>
      </c>
      <c r="E237">
        <v>3853</v>
      </c>
      <c r="F237" t="s">
        <v>935</v>
      </c>
      <c r="G237">
        <v>2</v>
      </c>
      <c r="H237" s="3" t="s">
        <v>2067</v>
      </c>
      <c r="I237" s="3" t="s">
        <v>2082</v>
      </c>
      <c r="K237" t="s">
        <v>352</v>
      </c>
      <c r="L237" t="s">
        <v>176</v>
      </c>
      <c r="M237" t="s">
        <v>844</v>
      </c>
      <c r="P237" t="s">
        <v>858</v>
      </c>
      <c r="R237" t="s">
        <v>85</v>
      </c>
      <c r="W237" t="s">
        <v>977</v>
      </c>
      <c r="X237" t="s">
        <v>837</v>
      </c>
      <c r="AA237" t="s">
        <v>993</v>
      </c>
      <c r="AB237" t="s">
        <v>842</v>
      </c>
      <c r="AC237">
        <v>26</v>
      </c>
    </row>
    <row r="238" spans="1:29" x14ac:dyDescent="0.2">
      <c r="A238" t="s">
        <v>994</v>
      </c>
      <c r="B238" t="s">
        <v>995</v>
      </c>
      <c r="C238">
        <v>20090538</v>
      </c>
      <c r="D238">
        <v>2193725</v>
      </c>
      <c r="E238">
        <v>6916</v>
      </c>
      <c r="F238" t="s">
        <v>939</v>
      </c>
      <c r="G238">
        <v>3</v>
      </c>
      <c r="H238" s="3" t="s">
        <v>2067</v>
      </c>
      <c r="I238" s="3" t="s">
        <v>2082</v>
      </c>
      <c r="K238" t="s">
        <v>119</v>
      </c>
      <c r="L238" t="s">
        <v>176</v>
      </c>
      <c r="M238" t="s">
        <v>844</v>
      </c>
      <c r="P238" t="s">
        <v>858</v>
      </c>
      <c r="R238" t="s">
        <v>85</v>
      </c>
      <c r="W238" t="s">
        <v>996</v>
      </c>
      <c r="X238" t="s">
        <v>837</v>
      </c>
      <c r="AA238" t="s">
        <v>997</v>
      </c>
      <c r="AB238" t="s">
        <v>842</v>
      </c>
      <c r="AC238">
        <v>26</v>
      </c>
    </row>
    <row r="239" spans="1:29" x14ac:dyDescent="0.2">
      <c r="A239" t="s">
        <v>998</v>
      </c>
      <c r="B239" t="s">
        <v>999</v>
      </c>
      <c r="C239">
        <v>28630659</v>
      </c>
      <c r="D239">
        <v>1020583</v>
      </c>
      <c r="E239">
        <v>11209</v>
      </c>
      <c r="F239" t="s">
        <v>840</v>
      </c>
      <c r="G239">
        <v>1</v>
      </c>
      <c r="H239" s="3" t="s">
        <v>2067</v>
      </c>
      <c r="I239" s="3" t="s">
        <v>2082</v>
      </c>
      <c r="K239" t="s">
        <v>126</v>
      </c>
      <c r="L239" t="s">
        <v>176</v>
      </c>
      <c r="M239" t="s">
        <v>844</v>
      </c>
      <c r="P239" t="s">
        <v>843</v>
      </c>
      <c r="R239" t="s">
        <v>85</v>
      </c>
      <c r="W239" t="s">
        <v>839</v>
      </c>
      <c r="X239" t="s">
        <v>837</v>
      </c>
      <c r="AA239" t="s">
        <v>1000</v>
      </c>
      <c r="AB239" t="s">
        <v>842</v>
      </c>
      <c r="AC239">
        <v>26</v>
      </c>
    </row>
    <row r="240" spans="1:29" x14ac:dyDescent="0.2">
      <c r="A240" t="s">
        <v>1001</v>
      </c>
      <c r="B240" t="s">
        <v>1002</v>
      </c>
      <c r="C240">
        <v>51204838</v>
      </c>
      <c r="D240">
        <v>30212697</v>
      </c>
      <c r="E240">
        <v>8430</v>
      </c>
      <c r="F240" t="s">
        <v>935</v>
      </c>
      <c r="G240">
        <v>2</v>
      </c>
      <c r="H240" s="3" t="s">
        <v>2067</v>
      </c>
      <c r="I240" s="3" t="s">
        <v>2082</v>
      </c>
      <c r="K240" t="s">
        <v>201</v>
      </c>
      <c r="L240" t="s">
        <v>176</v>
      </c>
      <c r="M240" t="s">
        <v>844</v>
      </c>
      <c r="P240" t="s">
        <v>843</v>
      </c>
      <c r="R240" t="s">
        <v>85</v>
      </c>
      <c r="W240" t="s">
        <v>903</v>
      </c>
      <c r="X240" t="s">
        <v>837</v>
      </c>
      <c r="AA240" t="s">
        <v>1003</v>
      </c>
      <c r="AB240" t="s">
        <v>842</v>
      </c>
      <c r="AC240">
        <v>26</v>
      </c>
    </row>
    <row r="241" spans="1:29" x14ac:dyDescent="0.2">
      <c r="A241" t="s">
        <v>1004</v>
      </c>
      <c r="B241" t="s">
        <v>1005</v>
      </c>
      <c r="C241">
        <v>12398761</v>
      </c>
      <c r="D241">
        <v>2358619</v>
      </c>
      <c r="E241">
        <v>3926</v>
      </c>
      <c r="F241" t="s">
        <v>939</v>
      </c>
      <c r="G241">
        <v>3</v>
      </c>
      <c r="H241" s="3" t="s">
        <v>2067</v>
      </c>
      <c r="I241" s="3" t="s">
        <v>2082</v>
      </c>
      <c r="K241" t="s">
        <v>357</v>
      </c>
      <c r="L241" t="s">
        <v>176</v>
      </c>
      <c r="M241" t="s">
        <v>844</v>
      </c>
      <c r="P241" t="s">
        <v>843</v>
      </c>
      <c r="R241" t="s">
        <v>85</v>
      </c>
      <c r="W241" t="s">
        <v>996</v>
      </c>
      <c r="X241" t="s">
        <v>837</v>
      </c>
      <c r="AA241" t="s">
        <v>1006</v>
      </c>
      <c r="AB241" t="s">
        <v>842</v>
      </c>
      <c r="AC241">
        <v>26</v>
      </c>
    </row>
    <row r="242" spans="1:29" x14ac:dyDescent="0.2">
      <c r="A242" t="s">
        <v>1007</v>
      </c>
      <c r="B242" t="s">
        <v>1008</v>
      </c>
      <c r="C242">
        <v>25396205</v>
      </c>
      <c r="D242">
        <v>3001167</v>
      </c>
      <c r="E242">
        <v>9790</v>
      </c>
      <c r="F242" t="s">
        <v>935</v>
      </c>
      <c r="G242">
        <v>1</v>
      </c>
      <c r="H242" s="3" t="s">
        <v>2067</v>
      </c>
      <c r="I242" s="3" t="s">
        <v>2082</v>
      </c>
      <c r="K242" t="s">
        <v>132</v>
      </c>
      <c r="L242" t="s">
        <v>176</v>
      </c>
      <c r="M242" t="s">
        <v>844</v>
      </c>
      <c r="P242" t="s">
        <v>858</v>
      </c>
      <c r="R242" t="s">
        <v>85</v>
      </c>
      <c r="W242" t="s">
        <v>903</v>
      </c>
      <c r="X242" t="s">
        <v>837</v>
      </c>
      <c r="AA242" t="s">
        <v>1009</v>
      </c>
      <c r="AB242" t="s">
        <v>842</v>
      </c>
      <c r="AC242">
        <v>27</v>
      </c>
    </row>
    <row r="243" spans="1:29" x14ac:dyDescent="0.2">
      <c r="A243" t="s">
        <v>1010</v>
      </c>
      <c r="B243" t="s">
        <v>1011</v>
      </c>
      <c r="C243">
        <v>23957444</v>
      </c>
      <c r="D243">
        <v>3113174</v>
      </c>
      <c r="E243">
        <v>7810</v>
      </c>
      <c r="F243" t="s">
        <v>939</v>
      </c>
      <c r="G243">
        <v>2</v>
      </c>
      <c r="H243" s="3" t="s">
        <v>2067</v>
      </c>
      <c r="I243" s="3" t="s">
        <v>2082</v>
      </c>
      <c r="K243" t="s">
        <v>138</v>
      </c>
      <c r="L243" t="s">
        <v>176</v>
      </c>
      <c r="M243" t="s">
        <v>844</v>
      </c>
      <c r="P243" t="s">
        <v>858</v>
      </c>
      <c r="R243" t="s">
        <v>85</v>
      </c>
      <c r="W243" t="s">
        <v>848</v>
      </c>
      <c r="X243" t="s">
        <v>837</v>
      </c>
      <c r="AA243" t="s">
        <v>1012</v>
      </c>
      <c r="AB243" t="s">
        <v>842</v>
      </c>
      <c r="AC243">
        <v>27</v>
      </c>
    </row>
    <row r="244" spans="1:29" x14ac:dyDescent="0.2">
      <c r="A244" t="s">
        <v>1013</v>
      </c>
      <c r="B244" t="s">
        <v>1014</v>
      </c>
      <c r="C244">
        <v>20150485</v>
      </c>
      <c r="D244">
        <v>460064</v>
      </c>
      <c r="E244">
        <v>7399</v>
      </c>
      <c r="F244" t="s">
        <v>852</v>
      </c>
      <c r="G244">
        <v>3</v>
      </c>
      <c r="H244" s="3" t="s">
        <v>2067</v>
      </c>
      <c r="I244" s="3" t="s">
        <v>838</v>
      </c>
      <c r="K244" t="s">
        <v>347</v>
      </c>
      <c r="L244" t="s">
        <v>176</v>
      </c>
      <c r="M244" t="s">
        <v>844</v>
      </c>
      <c r="P244" t="s">
        <v>843</v>
      </c>
      <c r="R244" t="s">
        <v>85</v>
      </c>
      <c r="W244" t="s">
        <v>1015</v>
      </c>
      <c r="X244" t="s">
        <v>837</v>
      </c>
      <c r="AA244" t="s">
        <v>1016</v>
      </c>
      <c r="AB244" t="s">
        <v>842</v>
      </c>
      <c r="AC244">
        <v>27</v>
      </c>
    </row>
    <row r="245" spans="1:29" x14ac:dyDescent="0.2">
      <c r="A245" t="s">
        <v>1017</v>
      </c>
      <c r="B245" t="s">
        <v>1018</v>
      </c>
      <c r="C245">
        <v>24301802</v>
      </c>
      <c r="D245">
        <v>1010964</v>
      </c>
      <c r="E245">
        <v>7996</v>
      </c>
      <c r="F245" t="s">
        <v>935</v>
      </c>
      <c r="G245">
        <v>1</v>
      </c>
      <c r="H245" s="3" t="s">
        <v>2067</v>
      </c>
      <c r="I245" s="3" t="s">
        <v>838</v>
      </c>
      <c r="K245" t="s">
        <v>461</v>
      </c>
      <c r="L245" t="s">
        <v>176</v>
      </c>
      <c r="M245" t="s">
        <v>844</v>
      </c>
      <c r="P245" t="s">
        <v>843</v>
      </c>
      <c r="R245" t="s">
        <v>85</v>
      </c>
      <c r="W245" t="s">
        <v>896</v>
      </c>
      <c r="X245" t="s">
        <v>837</v>
      </c>
      <c r="AA245" t="s">
        <v>1019</v>
      </c>
      <c r="AB245" t="s">
        <v>842</v>
      </c>
      <c r="AC245">
        <v>27</v>
      </c>
    </row>
    <row r="246" spans="1:29" x14ac:dyDescent="0.2">
      <c r="A246" t="s">
        <v>1020</v>
      </c>
      <c r="B246" t="s">
        <v>1021</v>
      </c>
      <c r="C246">
        <v>23893868</v>
      </c>
      <c r="D246">
        <v>84173</v>
      </c>
      <c r="E246">
        <v>11330</v>
      </c>
      <c r="F246" t="s">
        <v>939</v>
      </c>
      <c r="G246">
        <v>2</v>
      </c>
      <c r="H246" s="3" t="s">
        <v>2067</v>
      </c>
      <c r="I246" s="3" t="s">
        <v>838</v>
      </c>
      <c r="K246" t="s">
        <v>450</v>
      </c>
      <c r="L246" t="s">
        <v>176</v>
      </c>
      <c r="M246" t="s">
        <v>844</v>
      </c>
      <c r="P246" t="s">
        <v>843</v>
      </c>
      <c r="R246" t="s">
        <v>85</v>
      </c>
      <c r="W246" t="s">
        <v>839</v>
      </c>
      <c r="X246" t="s">
        <v>837</v>
      </c>
      <c r="AA246" t="s">
        <v>1022</v>
      </c>
      <c r="AB246" t="s">
        <v>842</v>
      </c>
      <c r="AC246">
        <v>27</v>
      </c>
    </row>
    <row r="247" spans="1:29" x14ac:dyDescent="0.2">
      <c r="A247" t="s">
        <v>1023</v>
      </c>
      <c r="B247" t="s">
        <v>1024</v>
      </c>
      <c r="C247">
        <v>25291409</v>
      </c>
      <c r="D247">
        <v>56689</v>
      </c>
      <c r="E247">
        <v>9818</v>
      </c>
      <c r="F247" t="s">
        <v>935</v>
      </c>
      <c r="G247">
        <v>1</v>
      </c>
      <c r="H247" s="3" t="s">
        <v>2067</v>
      </c>
      <c r="I247" s="3" t="s">
        <v>838</v>
      </c>
      <c r="K247" t="s">
        <v>329</v>
      </c>
      <c r="L247" t="s">
        <v>176</v>
      </c>
      <c r="M247" t="s">
        <v>844</v>
      </c>
      <c r="P247" t="s">
        <v>858</v>
      </c>
      <c r="R247" t="s">
        <v>85</v>
      </c>
      <c r="W247" t="s">
        <v>977</v>
      </c>
      <c r="X247" t="s">
        <v>837</v>
      </c>
      <c r="AA247" t="s">
        <v>1025</v>
      </c>
      <c r="AB247" t="s">
        <v>842</v>
      </c>
      <c r="AC247">
        <v>27</v>
      </c>
    </row>
    <row r="248" spans="1:29" x14ac:dyDescent="0.2">
      <c r="A248" t="s">
        <v>1026</v>
      </c>
      <c r="B248" t="s">
        <v>1027</v>
      </c>
      <c r="C248">
        <v>23693060</v>
      </c>
      <c r="D248">
        <v>63041</v>
      </c>
      <c r="E248">
        <v>7787</v>
      </c>
      <c r="F248" t="s">
        <v>939</v>
      </c>
      <c r="G248">
        <v>2</v>
      </c>
      <c r="H248" s="3" t="s">
        <v>2067</v>
      </c>
      <c r="I248" s="3" t="s">
        <v>838</v>
      </c>
      <c r="K248" t="s">
        <v>309</v>
      </c>
      <c r="L248" t="s">
        <v>176</v>
      </c>
      <c r="M248" t="s">
        <v>844</v>
      </c>
      <c r="P248" t="s">
        <v>858</v>
      </c>
      <c r="R248" t="s">
        <v>85</v>
      </c>
      <c r="W248" t="s">
        <v>862</v>
      </c>
      <c r="X248" t="s">
        <v>837</v>
      </c>
      <c r="AA248" t="s">
        <v>1028</v>
      </c>
      <c r="AB248" t="s">
        <v>842</v>
      </c>
      <c r="AC248">
        <v>27</v>
      </c>
    </row>
    <row r="249" spans="1:29" x14ac:dyDescent="0.2">
      <c r="A249" t="s">
        <v>1029</v>
      </c>
      <c r="B249" t="s">
        <v>1030</v>
      </c>
      <c r="C249">
        <v>19505900</v>
      </c>
      <c r="D249">
        <v>51552</v>
      </c>
      <c r="E249">
        <v>7428</v>
      </c>
      <c r="F249" t="s">
        <v>852</v>
      </c>
      <c r="G249">
        <v>3</v>
      </c>
      <c r="H249" s="3" t="s">
        <v>2067</v>
      </c>
      <c r="I249" s="3" t="s">
        <v>838</v>
      </c>
      <c r="K249" t="s">
        <v>265</v>
      </c>
      <c r="L249" t="s">
        <v>176</v>
      </c>
      <c r="M249" t="s">
        <v>844</v>
      </c>
      <c r="P249" t="s">
        <v>858</v>
      </c>
      <c r="R249" t="s">
        <v>85</v>
      </c>
      <c r="W249" t="s">
        <v>996</v>
      </c>
      <c r="X249" t="s">
        <v>837</v>
      </c>
      <c r="AA249" t="s">
        <v>1031</v>
      </c>
      <c r="AB249" t="s">
        <v>842</v>
      </c>
      <c r="AC249">
        <v>27</v>
      </c>
    </row>
    <row r="250" spans="1:29" x14ac:dyDescent="0.2">
      <c r="A250" t="s">
        <v>1032</v>
      </c>
      <c r="B250" t="s">
        <v>1033</v>
      </c>
      <c r="C250">
        <v>19523866</v>
      </c>
      <c r="D250">
        <v>1076952</v>
      </c>
      <c r="E250">
        <v>6735</v>
      </c>
      <c r="F250" t="s">
        <v>935</v>
      </c>
      <c r="G250">
        <v>1</v>
      </c>
      <c r="H250" s="3" t="s">
        <v>2067</v>
      </c>
      <c r="I250" s="3" t="s">
        <v>2081</v>
      </c>
      <c r="K250" t="s">
        <v>324</v>
      </c>
      <c r="L250" t="s">
        <v>176</v>
      </c>
      <c r="M250" t="s">
        <v>844</v>
      </c>
      <c r="P250" t="s">
        <v>843</v>
      </c>
      <c r="R250" t="s">
        <v>85</v>
      </c>
      <c r="W250" t="s">
        <v>1034</v>
      </c>
      <c r="X250" t="s">
        <v>837</v>
      </c>
      <c r="AA250" t="s">
        <v>1035</v>
      </c>
      <c r="AB250" t="s">
        <v>842</v>
      </c>
      <c r="AC250">
        <v>27</v>
      </c>
    </row>
    <row r="251" spans="1:29" x14ac:dyDescent="0.2">
      <c r="A251" t="s">
        <v>1036</v>
      </c>
      <c r="B251" t="s">
        <v>1037</v>
      </c>
      <c r="C251">
        <v>16728358</v>
      </c>
      <c r="D251">
        <v>1357004</v>
      </c>
      <c r="E251">
        <v>6560</v>
      </c>
      <c r="F251" t="s">
        <v>939</v>
      </c>
      <c r="G251">
        <v>2</v>
      </c>
      <c r="H251" s="3" t="s">
        <v>2067</v>
      </c>
      <c r="I251" s="3" t="s">
        <v>2081</v>
      </c>
      <c r="K251" t="s">
        <v>490</v>
      </c>
      <c r="L251" t="s">
        <v>176</v>
      </c>
      <c r="M251" t="s">
        <v>844</v>
      </c>
      <c r="P251" t="s">
        <v>843</v>
      </c>
      <c r="R251" t="s">
        <v>85</v>
      </c>
      <c r="W251" t="s">
        <v>896</v>
      </c>
      <c r="X251" t="s">
        <v>837</v>
      </c>
      <c r="AA251" t="s">
        <v>1038</v>
      </c>
      <c r="AB251" t="s">
        <v>842</v>
      </c>
      <c r="AC251">
        <v>27</v>
      </c>
    </row>
    <row r="252" spans="1:29" x14ac:dyDescent="0.2">
      <c r="A252" t="s">
        <v>1039</v>
      </c>
      <c r="B252" t="s">
        <v>1040</v>
      </c>
      <c r="C252">
        <v>810814</v>
      </c>
      <c r="D252">
        <v>28110</v>
      </c>
      <c r="E252">
        <v>185</v>
      </c>
      <c r="F252" t="s">
        <v>852</v>
      </c>
      <c r="G252">
        <v>3</v>
      </c>
      <c r="H252" s="3" t="s">
        <v>2067</v>
      </c>
      <c r="I252" s="3" t="s">
        <v>2081</v>
      </c>
      <c r="K252" t="s">
        <v>155</v>
      </c>
      <c r="L252" t="s">
        <v>176</v>
      </c>
      <c r="M252" t="s">
        <v>844</v>
      </c>
      <c r="P252" t="s">
        <v>843</v>
      </c>
      <c r="R252" t="s">
        <v>85</v>
      </c>
      <c r="W252" t="s">
        <v>918</v>
      </c>
      <c r="X252" t="s">
        <v>837</v>
      </c>
      <c r="AA252" t="s">
        <v>1041</v>
      </c>
      <c r="AB252" t="s">
        <v>842</v>
      </c>
      <c r="AC252">
        <v>27</v>
      </c>
    </row>
    <row r="253" spans="1:29" x14ac:dyDescent="0.2">
      <c r="A253" t="s">
        <v>1042</v>
      </c>
      <c r="B253" t="s">
        <v>1043</v>
      </c>
      <c r="C253">
        <v>12619620</v>
      </c>
      <c r="D253">
        <v>664793</v>
      </c>
      <c r="E253">
        <v>4805</v>
      </c>
      <c r="F253" t="s">
        <v>935</v>
      </c>
      <c r="G253">
        <v>1</v>
      </c>
      <c r="H253" s="3" t="s">
        <v>2067</v>
      </c>
      <c r="I253" s="3" t="s">
        <v>2081</v>
      </c>
      <c r="K253" t="s">
        <v>270</v>
      </c>
      <c r="L253" t="s">
        <v>176</v>
      </c>
      <c r="M253" t="s">
        <v>844</v>
      </c>
      <c r="P253" t="s">
        <v>858</v>
      </c>
      <c r="R253" t="s">
        <v>85</v>
      </c>
      <c r="W253" t="s">
        <v>977</v>
      </c>
      <c r="X253" t="s">
        <v>837</v>
      </c>
      <c r="AA253" t="s">
        <v>1044</v>
      </c>
      <c r="AB253" t="s">
        <v>842</v>
      </c>
      <c r="AC253">
        <v>27</v>
      </c>
    </row>
    <row r="254" spans="1:29" x14ac:dyDescent="0.2">
      <c r="A254" t="s">
        <v>1045</v>
      </c>
      <c r="B254" t="s">
        <v>1046</v>
      </c>
      <c r="C254">
        <v>25131543</v>
      </c>
      <c r="D254">
        <v>317272</v>
      </c>
      <c r="E254">
        <v>9287</v>
      </c>
      <c r="F254" t="s">
        <v>939</v>
      </c>
      <c r="G254">
        <v>2</v>
      </c>
      <c r="H254" s="3" t="s">
        <v>2067</v>
      </c>
      <c r="I254" s="3" t="s">
        <v>2081</v>
      </c>
      <c r="K254" t="s">
        <v>304</v>
      </c>
      <c r="L254" t="s">
        <v>176</v>
      </c>
      <c r="M254" t="s">
        <v>844</v>
      </c>
      <c r="P254" t="s">
        <v>858</v>
      </c>
      <c r="R254" t="s">
        <v>85</v>
      </c>
      <c r="W254" t="s">
        <v>871</v>
      </c>
      <c r="X254" t="s">
        <v>837</v>
      </c>
      <c r="AA254" t="s">
        <v>1047</v>
      </c>
      <c r="AB254" t="s">
        <v>842</v>
      </c>
      <c r="AC254">
        <v>27</v>
      </c>
    </row>
    <row r="255" spans="1:29" x14ac:dyDescent="0.2">
      <c r="A255" t="s">
        <v>1048</v>
      </c>
      <c r="B255" t="s">
        <v>1049</v>
      </c>
      <c r="C255">
        <v>15751542</v>
      </c>
      <c r="D255">
        <v>400513</v>
      </c>
      <c r="E255">
        <v>5535</v>
      </c>
      <c r="F255" t="s">
        <v>852</v>
      </c>
      <c r="G255">
        <v>3</v>
      </c>
      <c r="H255" s="3" t="s">
        <v>2067</v>
      </c>
      <c r="I255" s="3" t="s">
        <v>2081</v>
      </c>
      <c r="K255" t="s">
        <v>165</v>
      </c>
      <c r="L255" t="s">
        <v>176</v>
      </c>
      <c r="M255" t="s">
        <v>844</v>
      </c>
      <c r="P255" t="s">
        <v>858</v>
      </c>
      <c r="R255" t="s">
        <v>85</v>
      </c>
      <c r="W255" t="s">
        <v>918</v>
      </c>
      <c r="X255" t="s">
        <v>837</v>
      </c>
      <c r="AA255" t="s">
        <v>1050</v>
      </c>
      <c r="AB255" t="s">
        <v>842</v>
      </c>
      <c r="AC255">
        <v>27</v>
      </c>
    </row>
    <row r="256" spans="1:29" x14ac:dyDescent="0.2">
      <c r="A256" t="s">
        <v>1051</v>
      </c>
      <c r="B256" t="s">
        <v>1052</v>
      </c>
      <c r="C256">
        <v>20228155</v>
      </c>
      <c r="D256">
        <v>1208402</v>
      </c>
      <c r="E256">
        <v>7503</v>
      </c>
      <c r="F256" t="s">
        <v>935</v>
      </c>
      <c r="G256">
        <v>1</v>
      </c>
      <c r="H256" s="3" t="s">
        <v>2067</v>
      </c>
      <c r="I256" s="3" t="s">
        <v>2082</v>
      </c>
      <c r="K256" t="s">
        <v>243</v>
      </c>
      <c r="L256" t="s">
        <v>176</v>
      </c>
      <c r="M256" t="s">
        <v>844</v>
      </c>
      <c r="P256" t="s">
        <v>843</v>
      </c>
      <c r="R256" t="s">
        <v>85</v>
      </c>
      <c r="W256" t="s">
        <v>1034</v>
      </c>
      <c r="X256" t="s">
        <v>837</v>
      </c>
      <c r="AA256" t="s">
        <v>1054</v>
      </c>
      <c r="AB256" t="s">
        <v>842</v>
      </c>
      <c r="AC256">
        <v>27</v>
      </c>
    </row>
    <row r="257" spans="1:29" x14ac:dyDescent="0.2">
      <c r="A257" t="s">
        <v>1055</v>
      </c>
      <c r="B257" t="s">
        <v>1056</v>
      </c>
      <c r="C257">
        <v>23299632</v>
      </c>
      <c r="D257">
        <v>2337421</v>
      </c>
      <c r="E257">
        <v>6068</v>
      </c>
      <c r="F257" t="s">
        <v>939</v>
      </c>
      <c r="G257">
        <v>2</v>
      </c>
      <c r="H257" s="3" t="s">
        <v>2067</v>
      </c>
      <c r="I257" s="3" t="s">
        <v>2082</v>
      </c>
      <c r="K257" t="s">
        <v>248</v>
      </c>
      <c r="L257" t="s">
        <v>176</v>
      </c>
      <c r="M257" t="s">
        <v>844</v>
      </c>
      <c r="P257" t="s">
        <v>843</v>
      </c>
      <c r="R257" t="s">
        <v>85</v>
      </c>
      <c r="W257" t="s">
        <v>896</v>
      </c>
      <c r="X257" t="s">
        <v>837</v>
      </c>
      <c r="AA257" t="s">
        <v>1057</v>
      </c>
      <c r="AB257" t="s">
        <v>842</v>
      </c>
      <c r="AC257">
        <v>27</v>
      </c>
    </row>
    <row r="258" spans="1:29" x14ac:dyDescent="0.2">
      <c r="A258" t="s">
        <v>1058</v>
      </c>
      <c r="B258" t="s">
        <v>1059</v>
      </c>
      <c r="C258">
        <v>3324223</v>
      </c>
      <c r="D258">
        <v>1282266</v>
      </c>
      <c r="E258">
        <v>810</v>
      </c>
      <c r="F258" t="s">
        <v>852</v>
      </c>
      <c r="G258">
        <v>3</v>
      </c>
      <c r="H258" s="3" t="s">
        <v>2067</v>
      </c>
      <c r="I258" s="3" t="s">
        <v>2082</v>
      </c>
      <c r="K258" t="s">
        <v>290</v>
      </c>
      <c r="L258" t="s">
        <v>176</v>
      </c>
      <c r="M258" t="s">
        <v>844</v>
      </c>
      <c r="P258" t="s">
        <v>843</v>
      </c>
      <c r="R258" t="s">
        <v>85</v>
      </c>
      <c r="W258" t="s">
        <v>907</v>
      </c>
      <c r="X258" t="s">
        <v>837</v>
      </c>
      <c r="AA258" t="s">
        <v>1060</v>
      </c>
      <c r="AB258" t="s">
        <v>842</v>
      </c>
      <c r="AC258">
        <v>27</v>
      </c>
    </row>
    <row r="259" spans="1:29" x14ac:dyDescent="0.2">
      <c r="A259" t="s">
        <v>1061</v>
      </c>
      <c r="B259" t="s">
        <v>1062</v>
      </c>
      <c r="C259">
        <v>6999552</v>
      </c>
      <c r="D259">
        <v>3710434</v>
      </c>
      <c r="E259">
        <v>1322</v>
      </c>
      <c r="F259" t="s">
        <v>852</v>
      </c>
      <c r="G259">
        <v>3</v>
      </c>
      <c r="H259" s="3" t="s">
        <v>2067</v>
      </c>
      <c r="I259" s="3" t="s">
        <v>2082</v>
      </c>
      <c r="K259" t="s">
        <v>375</v>
      </c>
      <c r="L259" t="s">
        <v>176</v>
      </c>
      <c r="M259" t="s">
        <v>844</v>
      </c>
      <c r="P259" t="s">
        <v>858</v>
      </c>
      <c r="R259" t="s">
        <v>85</v>
      </c>
      <c r="W259" t="s">
        <v>1063</v>
      </c>
      <c r="X259" t="s">
        <v>837</v>
      </c>
      <c r="AA259" t="s">
        <v>1064</v>
      </c>
      <c r="AB259" t="s">
        <v>842</v>
      </c>
      <c r="AC259">
        <v>27</v>
      </c>
    </row>
    <row r="260" spans="1:29" x14ac:dyDescent="0.2">
      <c r="A260" t="s">
        <v>1065</v>
      </c>
      <c r="B260" t="s">
        <v>1066</v>
      </c>
      <c r="C260">
        <v>1052908</v>
      </c>
      <c r="D260">
        <v>138437</v>
      </c>
      <c r="E260">
        <v>466</v>
      </c>
      <c r="F260" t="s">
        <v>1067</v>
      </c>
      <c r="G260">
        <v>2</v>
      </c>
      <c r="H260" s="3" t="s">
        <v>2068</v>
      </c>
      <c r="K260" t="s">
        <v>386</v>
      </c>
      <c r="L260" t="s">
        <v>176</v>
      </c>
      <c r="M260" t="s">
        <v>844</v>
      </c>
      <c r="P260" t="s">
        <v>858</v>
      </c>
      <c r="R260" t="s">
        <v>85</v>
      </c>
      <c r="W260" t="s">
        <v>903</v>
      </c>
      <c r="X260" t="s">
        <v>837</v>
      </c>
      <c r="Y260">
        <v>1</v>
      </c>
      <c r="AA260" t="s">
        <v>1068</v>
      </c>
      <c r="AB260" t="s">
        <v>842</v>
      </c>
      <c r="AC260">
        <v>29</v>
      </c>
    </row>
    <row r="261" spans="1:29" x14ac:dyDescent="0.2">
      <c r="A261" t="s">
        <v>1069</v>
      </c>
      <c r="B261" t="s">
        <v>1070</v>
      </c>
      <c r="C261">
        <v>19195353</v>
      </c>
      <c r="D261">
        <v>2393874</v>
      </c>
      <c r="E261">
        <v>5833</v>
      </c>
      <c r="F261" t="s">
        <v>852</v>
      </c>
      <c r="G261">
        <v>1</v>
      </c>
      <c r="H261" s="3" t="s">
        <v>2067</v>
      </c>
      <c r="I261" s="3" t="s">
        <v>838</v>
      </c>
      <c r="K261" t="s">
        <v>494</v>
      </c>
      <c r="L261" t="s">
        <v>176</v>
      </c>
      <c r="M261" t="s">
        <v>844</v>
      </c>
      <c r="P261" t="s">
        <v>858</v>
      </c>
      <c r="R261" t="s">
        <v>85</v>
      </c>
      <c r="W261" t="s">
        <v>907</v>
      </c>
      <c r="X261" t="s">
        <v>837</v>
      </c>
      <c r="Y261">
        <v>1</v>
      </c>
      <c r="AA261" t="s">
        <v>1071</v>
      </c>
      <c r="AB261" t="s">
        <v>842</v>
      </c>
      <c r="AC261">
        <v>30</v>
      </c>
    </row>
    <row r="262" spans="1:29" x14ac:dyDescent="0.2">
      <c r="A262" t="s">
        <v>1072</v>
      </c>
      <c r="B262" t="s">
        <v>1073</v>
      </c>
      <c r="C262">
        <v>23394470</v>
      </c>
      <c r="D262">
        <v>61570</v>
      </c>
      <c r="E262">
        <v>10238</v>
      </c>
      <c r="F262" t="s">
        <v>1067</v>
      </c>
      <c r="G262">
        <v>2</v>
      </c>
      <c r="H262" s="3" t="s">
        <v>2067</v>
      </c>
      <c r="I262" s="3" t="s">
        <v>838</v>
      </c>
      <c r="K262" t="s">
        <v>402</v>
      </c>
      <c r="L262" t="s">
        <v>176</v>
      </c>
      <c r="M262" t="s">
        <v>844</v>
      </c>
      <c r="P262" t="s">
        <v>858</v>
      </c>
      <c r="R262" t="s">
        <v>85</v>
      </c>
      <c r="W262" t="s">
        <v>35</v>
      </c>
      <c r="X262" t="s">
        <v>837</v>
      </c>
      <c r="Y262">
        <v>1</v>
      </c>
      <c r="AA262" t="s">
        <v>1074</v>
      </c>
      <c r="AB262" t="s">
        <v>842</v>
      </c>
      <c r="AC262">
        <v>30</v>
      </c>
    </row>
    <row r="263" spans="1:29" x14ac:dyDescent="0.2">
      <c r="A263" t="s">
        <v>1075</v>
      </c>
      <c r="B263" t="s">
        <v>1076</v>
      </c>
      <c r="C263">
        <v>22517166</v>
      </c>
      <c r="D263">
        <v>1310142</v>
      </c>
      <c r="E263">
        <v>8648</v>
      </c>
      <c r="F263" t="s">
        <v>1077</v>
      </c>
      <c r="G263">
        <v>3</v>
      </c>
      <c r="H263" s="3" t="s">
        <v>2067</v>
      </c>
      <c r="I263" s="3" t="s">
        <v>838</v>
      </c>
      <c r="K263" t="s">
        <v>319</v>
      </c>
      <c r="L263" t="s">
        <v>176</v>
      </c>
      <c r="M263" t="s">
        <v>844</v>
      </c>
      <c r="P263" t="s">
        <v>858</v>
      </c>
      <c r="R263" t="s">
        <v>85</v>
      </c>
      <c r="W263" t="s">
        <v>955</v>
      </c>
      <c r="X263" t="s">
        <v>837</v>
      </c>
      <c r="Y263">
        <v>1</v>
      </c>
      <c r="AA263" t="s">
        <v>1078</v>
      </c>
      <c r="AB263" t="s">
        <v>842</v>
      </c>
      <c r="AC263">
        <v>30</v>
      </c>
    </row>
    <row r="264" spans="1:29" x14ac:dyDescent="0.2">
      <c r="A264" t="s">
        <v>1079</v>
      </c>
      <c r="B264" t="s">
        <v>1080</v>
      </c>
      <c r="C264">
        <v>3492614</v>
      </c>
      <c r="D264">
        <v>2246517</v>
      </c>
      <c r="E264">
        <v>684</v>
      </c>
      <c r="F264" t="s">
        <v>852</v>
      </c>
      <c r="G264">
        <v>1</v>
      </c>
      <c r="H264" s="3" t="s">
        <v>2067</v>
      </c>
      <c r="I264" s="3" t="s">
        <v>838</v>
      </c>
      <c r="K264" t="s">
        <v>426</v>
      </c>
      <c r="L264" t="s">
        <v>176</v>
      </c>
      <c r="M264" t="s">
        <v>844</v>
      </c>
      <c r="P264" t="s">
        <v>1083</v>
      </c>
      <c r="R264" t="s">
        <v>85</v>
      </c>
      <c r="W264" t="s">
        <v>1081</v>
      </c>
      <c r="X264" t="s">
        <v>837</v>
      </c>
      <c r="Y264">
        <v>1</v>
      </c>
      <c r="AA264" t="s">
        <v>1082</v>
      </c>
      <c r="AB264" t="s">
        <v>842</v>
      </c>
      <c r="AC264">
        <v>30</v>
      </c>
    </row>
    <row r="265" spans="1:29" x14ac:dyDescent="0.2">
      <c r="A265" t="s">
        <v>1084</v>
      </c>
      <c r="B265" t="s">
        <v>1085</v>
      </c>
      <c r="C265">
        <v>24248683</v>
      </c>
      <c r="D265">
        <v>80893</v>
      </c>
      <c r="E265">
        <v>8939</v>
      </c>
      <c r="F265" t="s">
        <v>1067</v>
      </c>
      <c r="G265">
        <v>2</v>
      </c>
      <c r="H265" s="3" t="s">
        <v>2067</v>
      </c>
      <c r="I265" s="3" t="s">
        <v>838</v>
      </c>
      <c r="K265" t="s">
        <v>470</v>
      </c>
      <c r="L265" t="s">
        <v>176</v>
      </c>
      <c r="M265" t="s">
        <v>844</v>
      </c>
      <c r="P265" t="s">
        <v>1083</v>
      </c>
      <c r="R265" t="s">
        <v>85</v>
      </c>
      <c r="W265" t="s">
        <v>977</v>
      </c>
      <c r="X265" t="s">
        <v>837</v>
      </c>
      <c r="Y265">
        <v>1</v>
      </c>
      <c r="AA265" t="s">
        <v>1086</v>
      </c>
      <c r="AB265" t="s">
        <v>842</v>
      </c>
      <c r="AC265">
        <v>30</v>
      </c>
    </row>
    <row r="266" spans="1:29" x14ac:dyDescent="0.2">
      <c r="A266" t="s">
        <v>1087</v>
      </c>
      <c r="B266" t="s">
        <v>1088</v>
      </c>
      <c r="C266">
        <v>9747353</v>
      </c>
      <c r="D266">
        <v>36495</v>
      </c>
      <c r="E266">
        <v>4331</v>
      </c>
      <c r="F266" t="s">
        <v>1077</v>
      </c>
      <c r="G266">
        <v>3</v>
      </c>
      <c r="H266" s="3" t="s">
        <v>2067</v>
      </c>
      <c r="I266" s="3" t="s">
        <v>838</v>
      </c>
      <c r="K266" t="s">
        <v>275</v>
      </c>
      <c r="L266" t="s">
        <v>176</v>
      </c>
      <c r="M266" t="s">
        <v>844</v>
      </c>
      <c r="P266" t="s">
        <v>1083</v>
      </c>
      <c r="R266" t="s">
        <v>85</v>
      </c>
      <c r="W266" t="s">
        <v>856</v>
      </c>
      <c r="X266" t="s">
        <v>837</v>
      </c>
      <c r="Y266">
        <v>1</v>
      </c>
      <c r="AA266" t="s">
        <v>1089</v>
      </c>
      <c r="AB266" t="s">
        <v>842</v>
      </c>
      <c r="AC266">
        <v>30</v>
      </c>
    </row>
    <row r="267" spans="1:29" x14ac:dyDescent="0.2">
      <c r="A267" t="s">
        <v>1090</v>
      </c>
      <c r="B267" t="s">
        <v>1091</v>
      </c>
      <c r="C267">
        <v>487731</v>
      </c>
      <c r="D267">
        <v>90284</v>
      </c>
      <c r="E267">
        <v>124</v>
      </c>
      <c r="F267" t="s">
        <v>852</v>
      </c>
      <c r="G267">
        <v>1</v>
      </c>
      <c r="H267" s="3" t="s">
        <v>2068</v>
      </c>
      <c r="K267" t="s">
        <v>438</v>
      </c>
      <c r="L267" t="s">
        <v>176</v>
      </c>
      <c r="M267" t="s">
        <v>844</v>
      </c>
      <c r="P267" t="s">
        <v>1083</v>
      </c>
      <c r="R267" t="s">
        <v>85</v>
      </c>
      <c r="W267" t="s">
        <v>1092</v>
      </c>
      <c r="X267" t="s">
        <v>837</v>
      </c>
      <c r="Y267">
        <v>1</v>
      </c>
      <c r="AA267" t="s">
        <v>1093</v>
      </c>
      <c r="AB267" t="s">
        <v>842</v>
      </c>
      <c r="AC267">
        <v>30</v>
      </c>
    </row>
    <row r="268" spans="1:29" x14ac:dyDescent="0.2">
      <c r="A268" t="s">
        <v>1094</v>
      </c>
      <c r="B268" t="s">
        <v>1095</v>
      </c>
      <c r="C268">
        <v>1199862</v>
      </c>
      <c r="D268">
        <v>110084</v>
      </c>
      <c r="E268">
        <v>1248</v>
      </c>
      <c r="F268" t="s">
        <v>1067</v>
      </c>
      <c r="G268">
        <v>2</v>
      </c>
      <c r="H268" s="3" t="s">
        <v>2068</v>
      </c>
      <c r="K268" t="s">
        <v>238</v>
      </c>
      <c r="L268" t="s">
        <v>176</v>
      </c>
      <c r="M268" t="s">
        <v>844</v>
      </c>
      <c r="P268" t="s">
        <v>1083</v>
      </c>
      <c r="R268" t="s">
        <v>85</v>
      </c>
      <c r="W268" t="s">
        <v>903</v>
      </c>
      <c r="X268" t="s">
        <v>837</v>
      </c>
      <c r="Y268">
        <v>1</v>
      </c>
      <c r="AA268" t="s">
        <v>1096</v>
      </c>
      <c r="AB268" t="s">
        <v>842</v>
      </c>
      <c r="AC268">
        <v>30</v>
      </c>
    </row>
    <row r="269" spans="1:29" x14ac:dyDescent="0.2">
      <c r="A269" t="s">
        <v>1097</v>
      </c>
      <c r="B269" t="s">
        <v>1098</v>
      </c>
      <c r="C269">
        <v>1034069</v>
      </c>
      <c r="D269">
        <v>230818</v>
      </c>
      <c r="E269">
        <v>388</v>
      </c>
      <c r="F269" t="s">
        <v>1077</v>
      </c>
      <c r="G269">
        <v>3</v>
      </c>
      <c r="H269" s="3" t="s">
        <v>2068</v>
      </c>
      <c r="K269" t="s">
        <v>434</v>
      </c>
      <c r="L269" t="s">
        <v>176</v>
      </c>
      <c r="M269" t="s">
        <v>844</v>
      </c>
      <c r="P269" t="s">
        <v>1083</v>
      </c>
      <c r="R269" t="s">
        <v>85</v>
      </c>
      <c r="W269" t="s">
        <v>848</v>
      </c>
      <c r="X269" t="s">
        <v>837</v>
      </c>
      <c r="Y269">
        <v>1</v>
      </c>
      <c r="AA269" t="s">
        <v>1099</v>
      </c>
      <c r="AB269" t="s">
        <v>842</v>
      </c>
      <c r="AC269">
        <v>30</v>
      </c>
    </row>
    <row r="270" spans="1:29" x14ac:dyDescent="0.2">
      <c r="A270" t="s">
        <v>1100</v>
      </c>
      <c r="B270" t="s">
        <v>1101</v>
      </c>
      <c r="C270">
        <v>2176811</v>
      </c>
      <c r="D270">
        <v>87894</v>
      </c>
      <c r="E270">
        <v>698</v>
      </c>
      <c r="F270" t="s">
        <v>852</v>
      </c>
      <c r="G270">
        <v>1</v>
      </c>
      <c r="H270" s="3" t="s">
        <v>2067</v>
      </c>
      <c r="I270" s="3" t="s">
        <v>2081</v>
      </c>
      <c r="K270" t="s">
        <v>257</v>
      </c>
      <c r="L270" t="s">
        <v>176</v>
      </c>
      <c r="M270" t="s">
        <v>844</v>
      </c>
      <c r="P270" t="s">
        <v>858</v>
      </c>
      <c r="R270" t="s">
        <v>85</v>
      </c>
      <c r="W270" t="s">
        <v>1092</v>
      </c>
      <c r="X270" t="s">
        <v>837</v>
      </c>
      <c r="Y270">
        <v>1</v>
      </c>
      <c r="AA270" t="s">
        <v>1102</v>
      </c>
      <c r="AB270" t="s">
        <v>842</v>
      </c>
      <c r="AC270">
        <v>30</v>
      </c>
    </row>
    <row r="271" spans="1:29" x14ac:dyDescent="0.2">
      <c r="A271" t="s">
        <v>1103</v>
      </c>
      <c r="B271" t="s">
        <v>1104</v>
      </c>
      <c r="C271">
        <v>8809547</v>
      </c>
      <c r="D271">
        <v>1449567</v>
      </c>
      <c r="E271">
        <v>3256</v>
      </c>
      <c r="F271" t="s">
        <v>1067</v>
      </c>
      <c r="G271">
        <v>2</v>
      </c>
      <c r="H271" s="3" t="s">
        <v>2067</v>
      </c>
      <c r="I271" s="3" t="s">
        <v>2081</v>
      </c>
      <c r="K271" t="s">
        <v>442</v>
      </c>
      <c r="L271" t="s">
        <v>176</v>
      </c>
      <c r="M271" t="s">
        <v>844</v>
      </c>
      <c r="P271" t="s">
        <v>858</v>
      </c>
      <c r="R271" t="s">
        <v>85</v>
      </c>
      <c r="W271" t="s">
        <v>862</v>
      </c>
      <c r="X271" t="s">
        <v>837</v>
      </c>
      <c r="Y271">
        <v>1</v>
      </c>
      <c r="AA271" t="s">
        <v>1105</v>
      </c>
      <c r="AB271" t="s">
        <v>842</v>
      </c>
      <c r="AC271">
        <v>30</v>
      </c>
    </row>
    <row r="272" spans="1:29" x14ac:dyDescent="0.2">
      <c r="A272" t="s">
        <v>1106</v>
      </c>
      <c r="B272" t="s">
        <v>1107</v>
      </c>
      <c r="C272">
        <v>11076599</v>
      </c>
      <c r="D272">
        <v>552662</v>
      </c>
      <c r="E272">
        <v>4035</v>
      </c>
      <c r="F272" t="s">
        <v>1077</v>
      </c>
      <c r="G272">
        <v>3</v>
      </c>
      <c r="H272" s="3" t="s">
        <v>2067</v>
      </c>
      <c r="I272" s="3" t="s">
        <v>2081</v>
      </c>
      <c r="K272" t="s">
        <v>466</v>
      </c>
      <c r="L272" t="s">
        <v>176</v>
      </c>
      <c r="M272" t="s">
        <v>844</v>
      </c>
      <c r="P272" t="s">
        <v>858</v>
      </c>
      <c r="R272" t="s">
        <v>85</v>
      </c>
      <c r="W272" t="s">
        <v>896</v>
      </c>
      <c r="X272" t="s">
        <v>837</v>
      </c>
      <c r="Y272">
        <v>1</v>
      </c>
      <c r="AA272" t="s">
        <v>1108</v>
      </c>
      <c r="AB272" t="s">
        <v>842</v>
      </c>
      <c r="AC272">
        <v>30</v>
      </c>
    </row>
    <row r="273" spans="1:29" x14ac:dyDescent="0.2">
      <c r="A273" t="s">
        <v>1109</v>
      </c>
      <c r="B273" t="s">
        <v>1110</v>
      </c>
      <c r="C273">
        <v>6083299</v>
      </c>
      <c r="D273">
        <v>5156362</v>
      </c>
      <c r="E273">
        <v>653</v>
      </c>
      <c r="F273" t="s">
        <v>852</v>
      </c>
      <c r="G273">
        <v>1</v>
      </c>
      <c r="H273" s="3" t="s">
        <v>2067</v>
      </c>
      <c r="I273" s="3" t="s">
        <v>2082</v>
      </c>
      <c r="K273" t="s">
        <v>393</v>
      </c>
      <c r="L273" t="s">
        <v>176</v>
      </c>
      <c r="M273" t="s">
        <v>844</v>
      </c>
      <c r="P273" t="s">
        <v>858</v>
      </c>
      <c r="R273" t="s">
        <v>85</v>
      </c>
      <c r="W273" t="s">
        <v>1111</v>
      </c>
      <c r="X273" t="s">
        <v>837</v>
      </c>
      <c r="Y273">
        <v>1</v>
      </c>
      <c r="AA273" t="s">
        <v>1112</v>
      </c>
      <c r="AB273" t="s">
        <v>842</v>
      </c>
      <c r="AC273">
        <v>30</v>
      </c>
    </row>
    <row r="274" spans="1:29" x14ac:dyDescent="0.2">
      <c r="A274" t="s">
        <v>1113</v>
      </c>
      <c r="B274" t="s">
        <v>1114</v>
      </c>
      <c r="C274">
        <v>4667250</v>
      </c>
      <c r="D274">
        <v>603884</v>
      </c>
      <c r="E274">
        <v>2796</v>
      </c>
      <c r="F274" t="s">
        <v>1067</v>
      </c>
      <c r="G274">
        <v>2</v>
      </c>
      <c r="H274" s="3" t="s">
        <v>2067</v>
      </c>
      <c r="I274" s="3" t="s">
        <v>2082</v>
      </c>
      <c r="K274" t="s">
        <v>406</v>
      </c>
      <c r="L274" t="s">
        <v>176</v>
      </c>
      <c r="M274" t="s">
        <v>844</v>
      </c>
      <c r="P274" t="s">
        <v>858</v>
      </c>
      <c r="R274" t="s">
        <v>85</v>
      </c>
      <c r="W274" t="s">
        <v>35</v>
      </c>
      <c r="X274" t="s">
        <v>837</v>
      </c>
      <c r="Y274">
        <v>1</v>
      </c>
      <c r="AA274" t="s">
        <v>1115</v>
      </c>
      <c r="AB274" t="s">
        <v>842</v>
      </c>
      <c r="AC274">
        <v>30</v>
      </c>
    </row>
    <row r="275" spans="1:29" x14ac:dyDescent="0.2">
      <c r="A275" t="s">
        <v>1116</v>
      </c>
      <c r="B275" t="s">
        <v>1117</v>
      </c>
      <c r="C275">
        <v>18735439</v>
      </c>
      <c r="D275">
        <v>1549595</v>
      </c>
      <c r="E275">
        <v>7411</v>
      </c>
      <c r="F275" t="s">
        <v>1077</v>
      </c>
      <c r="G275">
        <v>3</v>
      </c>
      <c r="H275" s="3" t="s">
        <v>2067</v>
      </c>
      <c r="I275" s="3" t="s">
        <v>2082</v>
      </c>
      <c r="K275" t="s">
        <v>422</v>
      </c>
      <c r="L275" t="s">
        <v>176</v>
      </c>
      <c r="M275" t="s">
        <v>844</v>
      </c>
      <c r="P275" t="s">
        <v>858</v>
      </c>
      <c r="R275" t="s">
        <v>85</v>
      </c>
      <c r="W275" t="s">
        <v>866</v>
      </c>
      <c r="X275" t="s">
        <v>837</v>
      </c>
      <c r="Y275">
        <v>1</v>
      </c>
      <c r="AA275" t="s">
        <v>1118</v>
      </c>
      <c r="AB275" t="s">
        <v>842</v>
      </c>
      <c r="AC275">
        <v>30</v>
      </c>
    </row>
    <row r="276" spans="1:29" x14ac:dyDescent="0.2">
      <c r="A276" t="s">
        <v>1119</v>
      </c>
      <c r="B276" t="s">
        <v>1120</v>
      </c>
      <c r="C276">
        <v>26129855</v>
      </c>
      <c r="D276">
        <v>63671</v>
      </c>
      <c r="E276">
        <v>8759</v>
      </c>
      <c r="F276" t="s">
        <v>1067</v>
      </c>
      <c r="G276">
        <v>1</v>
      </c>
      <c r="H276" s="3" t="s">
        <v>2067</v>
      </c>
      <c r="I276" s="3" t="s">
        <v>838</v>
      </c>
      <c r="K276" t="s">
        <v>829</v>
      </c>
      <c r="L276" t="s">
        <v>176</v>
      </c>
      <c r="M276" t="s">
        <v>844</v>
      </c>
      <c r="P276" t="s">
        <v>858</v>
      </c>
      <c r="R276" t="s">
        <v>85</v>
      </c>
      <c r="W276" t="s">
        <v>955</v>
      </c>
      <c r="X276" t="s">
        <v>837</v>
      </c>
      <c r="Y276">
        <v>1</v>
      </c>
      <c r="AA276" t="s">
        <v>1121</v>
      </c>
      <c r="AB276" t="s">
        <v>842</v>
      </c>
      <c r="AC276">
        <v>32</v>
      </c>
    </row>
    <row r="277" spans="1:29" x14ac:dyDescent="0.2">
      <c r="A277" t="s">
        <v>1122</v>
      </c>
      <c r="B277" t="s">
        <v>1123</v>
      </c>
      <c r="C277">
        <v>16753720</v>
      </c>
      <c r="D277">
        <v>50273</v>
      </c>
      <c r="E277">
        <v>7078</v>
      </c>
      <c r="F277" t="s">
        <v>1077</v>
      </c>
      <c r="G277">
        <v>2</v>
      </c>
      <c r="H277" s="3" t="s">
        <v>2067</v>
      </c>
      <c r="I277" s="3" t="s">
        <v>838</v>
      </c>
      <c r="K277" t="s">
        <v>546</v>
      </c>
      <c r="L277" t="s">
        <v>176</v>
      </c>
      <c r="M277" t="s">
        <v>844</v>
      </c>
      <c r="P277" t="s">
        <v>858</v>
      </c>
      <c r="R277" t="s">
        <v>85</v>
      </c>
      <c r="W277" t="s">
        <v>862</v>
      </c>
      <c r="X277" t="s">
        <v>837</v>
      </c>
      <c r="Y277">
        <v>1</v>
      </c>
      <c r="AA277" t="s">
        <v>1124</v>
      </c>
      <c r="AB277" t="s">
        <v>842</v>
      </c>
      <c r="AC277">
        <v>32</v>
      </c>
    </row>
    <row r="278" spans="1:29" x14ac:dyDescent="0.2">
      <c r="A278" t="s">
        <v>1125</v>
      </c>
      <c r="B278" t="s">
        <v>1126</v>
      </c>
      <c r="C278">
        <v>10334005</v>
      </c>
      <c r="D278">
        <v>68904</v>
      </c>
      <c r="E278">
        <v>3782</v>
      </c>
      <c r="F278" t="s">
        <v>1127</v>
      </c>
      <c r="G278">
        <v>3</v>
      </c>
      <c r="H278" s="3" t="s">
        <v>2067</v>
      </c>
      <c r="I278" s="3" t="s">
        <v>838</v>
      </c>
      <c r="K278" t="s">
        <v>586</v>
      </c>
      <c r="L278" t="s">
        <v>176</v>
      </c>
      <c r="M278" t="s">
        <v>844</v>
      </c>
      <c r="P278" t="s">
        <v>858</v>
      </c>
      <c r="R278" t="s">
        <v>85</v>
      </c>
      <c r="W278" t="s">
        <v>903</v>
      </c>
      <c r="X278" t="s">
        <v>837</v>
      </c>
      <c r="Y278">
        <v>1</v>
      </c>
      <c r="AA278" t="s">
        <v>1128</v>
      </c>
      <c r="AB278" t="s">
        <v>842</v>
      </c>
      <c r="AC278">
        <v>32</v>
      </c>
    </row>
    <row r="279" spans="1:29" x14ac:dyDescent="0.2">
      <c r="A279" t="s">
        <v>1129</v>
      </c>
      <c r="B279" t="s">
        <v>1130</v>
      </c>
      <c r="C279">
        <v>26574531</v>
      </c>
      <c r="D279">
        <v>304564</v>
      </c>
      <c r="E279">
        <v>8295</v>
      </c>
      <c r="F279" t="s">
        <v>1067</v>
      </c>
      <c r="G279">
        <v>1</v>
      </c>
      <c r="H279" s="3" t="s">
        <v>2067</v>
      </c>
      <c r="I279" s="3" t="s">
        <v>838</v>
      </c>
      <c r="K279" t="s">
        <v>624</v>
      </c>
      <c r="L279" t="s">
        <v>176</v>
      </c>
      <c r="M279" t="s">
        <v>844</v>
      </c>
      <c r="P279" t="s">
        <v>1083</v>
      </c>
      <c r="R279" t="s">
        <v>85</v>
      </c>
      <c r="W279" t="s">
        <v>903</v>
      </c>
      <c r="X279" t="s">
        <v>837</v>
      </c>
      <c r="Y279">
        <v>1</v>
      </c>
      <c r="AA279" t="s">
        <v>1131</v>
      </c>
      <c r="AB279" t="s">
        <v>842</v>
      </c>
      <c r="AC279">
        <v>32</v>
      </c>
    </row>
    <row r="280" spans="1:29" x14ac:dyDescent="0.2">
      <c r="A280" t="s">
        <v>1132</v>
      </c>
      <c r="B280" t="s">
        <v>1133</v>
      </c>
      <c r="C280">
        <v>24972868</v>
      </c>
      <c r="D280">
        <v>125413</v>
      </c>
      <c r="E280">
        <v>9732</v>
      </c>
      <c r="F280" t="s">
        <v>1077</v>
      </c>
      <c r="G280">
        <v>2</v>
      </c>
      <c r="H280" s="3" t="s">
        <v>2067</v>
      </c>
      <c r="I280" s="3" t="s">
        <v>838</v>
      </c>
      <c r="K280" t="s">
        <v>658</v>
      </c>
      <c r="L280" t="s">
        <v>176</v>
      </c>
      <c r="M280" t="s">
        <v>844</v>
      </c>
      <c r="P280" t="s">
        <v>1083</v>
      </c>
      <c r="R280" t="s">
        <v>85</v>
      </c>
      <c r="W280" t="s">
        <v>903</v>
      </c>
      <c r="X280" t="s">
        <v>837</v>
      </c>
      <c r="Y280">
        <v>1</v>
      </c>
      <c r="AA280" t="s">
        <v>1134</v>
      </c>
      <c r="AB280" t="s">
        <v>842</v>
      </c>
      <c r="AC280">
        <v>32</v>
      </c>
    </row>
    <row r="281" spans="1:29" x14ac:dyDescent="0.2">
      <c r="A281" t="s">
        <v>1135</v>
      </c>
      <c r="B281" t="s">
        <v>1136</v>
      </c>
      <c r="C281">
        <v>20071560</v>
      </c>
      <c r="D281">
        <v>53356</v>
      </c>
      <c r="E281">
        <v>7483</v>
      </c>
      <c r="F281" t="s">
        <v>1127</v>
      </c>
      <c r="G281">
        <v>3</v>
      </c>
      <c r="H281" s="3" t="s">
        <v>2067</v>
      </c>
      <c r="I281" s="3" t="s">
        <v>838</v>
      </c>
      <c r="K281" t="s">
        <v>695</v>
      </c>
      <c r="L281" t="s">
        <v>176</v>
      </c>
      <c r="M281" t="s">
        <v>844</v>
      </c>
      <c r="P281" t="s">
        <v>1083</v>
      </c>
      <c r="R281" t="s">
        <v>85</v>
      </c>
      <c r="W281" t="s">
        <v>856</v>
      </c>
      <c r="X281" t="s">
        <v>837</v>
      </c>
      <c r="Y281">
        <v>1</v>
      </c>
      <c r="AA281" t="s">
        <v>1137</v>
      </c>
      <c r="AB281" t="s">
        <v>842</v>
      </c>
      <c r="AC281">
        <v>32</v>
      </c>
    </row>
    <row r="282" spans="1:29" x14ac:dyDescent="0.2">
      <c r="A282" t="s">
        <v>1138</v>
      </c>
      <c r="B282" t="s">
        <v>1139</v>
      </c>
      <c r="C282">
        <v>1976118</v>
      </c>
      <c r="D282">
        <v>374237</v>
      </c>
      <c r="E282">
        <v>984</v>
      </c>
      <c r="F282" t="s">
        <v>1127</v>
      </c>
      <c r="G282">
        <v>3</v>
      </c>
      <c r="H282" s="3" t="s">
        <v>2068</v>
      </c>
      <c r="K282" t="s">
        <v>731</v>
      </c>
      <c r="L282" t="s">
        <v>176</v>
      </c>
      <c r="M282" t="s">
        <v>844</v>
      </c>
      <c r="P282" t="s">
        <v>1083</v>
      </c>
      <c r="R282" t="s">
        <v>85</v>
      </c>
      <c r="W282" t="s">
        <v>1034</v>
      </c>
      <c r="X282" t="s">
        <v>837</v>
      </c>
      <c r="Y282">
        <v>1</v>
      </c>
      <c r="AA282" t="s">
        <v>1140</v>
      </c>
      <c r="AB282" t="s">
        <v>842</v>
      </c>
      <c r="AC282">
        <v>32</v>
      </c>
    </row>
    <row r="283" spans="1:29" x14ac:dyDescent="0.2">
      <c r="A283" t="s">
        <v>1141</v>
      </c>
      <c r="B283" t="s">
        <v>1142</v>
      </c>
      <c r="C283">
        <v>589075</v>
      </c>
      <c r="D283">
        <v>59064</v>
      </c>
      <c r="E283">
        <v>318</v>
      </c>
      <c r="F283" t="s">
        <v>1077</v>
      </c>
      <c r="G283">
        <v>2</v>
      </c>
      <c r="H283" s="3" t="s">
        <v>2068</v>
      </c>
      <c r="K283" t="s">
        <v>766</v>
      </c>
      <c r="L283" t="s">
        <v>176</v>
      </c>
      <c r="M283" t="s">
        <v>844</v>
      </c>
      <c r="P283" t="s">
        <v>858</v>
      </c>
      <c r="R283" t="s">
        <v>85</v>
      </c>
      <c r="W283" t="s">
        <v>959</v>
      </c>
      <c r="X283" t="s">
        <v>837</v>
      </c>
      <c r="Y283">
        <v>1</v>
      </c>
      <c r="AA283" t="s">
        <v>1143</v>
      </c>
      <c r="AB283" t="s">
        <v>842</v>
      </c>
      <c r="AC283">
        <v>32</v>
      </c>
    </row>
    <row r="284" spans="1:29" x14ac:dyDescent="0.2">
      <c r="A284" t="s">
        <v>1144</v>
      </c>
      <c r="B284" t="s">
        <v>1145</v>
      </c>
      <c r="C284">
        <v>9729347</v>
      </c>
      <c r="D284">
        <v>6870201</v>
      </c>
      <c r="E284">
        <v>2479</v>
      </c>
      <c r="F284" t="s">
        <v>1127</v>
      </c>
      <c r="G284">
        <v>3</v>
      </c>
      <c r="H284" s="3" t="s">
        <v>2068</v>
      </c>
      <c r="K284" t="s">
        <v>804</v>
      </c>
      <c r="L284" t="s">
        <v>176</v>
      </c>
      <c r="M284" t="s">
        <v>844</v>
      </c>
      <c r="P284" t="s">
        <v>858</v>
      </c>
      <c r="R284" t="s">
        <v>85</v>
      </c>
      <c r="W284" t="s">
        <v>977</v>
      </c>
      <c r="X284" t="s">
        <v>837</v>
      </c>
      <c r="Y284">
        <v>1</v>
      </c>
      <c r="AA284" t="s">
        <v>1146</v>
      </c>
      <c r="AB284" t="s">
        <v>842</v>
      </c>
      <c r="AC284">
        <v>32</v>
      </c>
    </row>
    <row r="285" spans="1:29" x14ac:dyDescent="0.2">
      <c r="A285" t="s">
        <v>1147</v>
      </c>
      <c r="B285" t="s">
        <v>1148</v>
      </c>
      <c r="C285">
        <v>6281174</v>
      </c>
      <c r="D285">
        <v>309908</v>
      </c>
      <c r="E285">
        <v>2825</v>
      </c>
      <c r="F285" t="s">
        <v>1067</v>
      </c>
      <c r="G285">
        <v>1</v>
      </c>
      <c r="H285" s="3" t="s">
        <v>2067</v>
      </c>
      <c r="I285" s="3" t="s">
        <v>2081</v>
      </c>
      <c r="K285" t="s">
        <v>834</v>
      </c>
      <c r="L285" t="s">
        <v>176</v>
      </c>
      <c r="M285" t="s">
        <v>844</v>
      </c>
      <c r="P285" t="s">
        <v>858</v>
      </c>
      <c r="R285" t="s">
        <v>85</v>
      </c>
      <c r="W285" t="s">
        <v>888</v>
      </c>
      <c r="X285" t="s">
        <v>837</v>
      </c>
      <c r="Y285">
        <v>1</v>
      </c>
      <c r="AA285" t="s">
        <v>1149</v>
      </c>
      <c r="AB285" t="s">
        <v>842</v>
      </c>
      <c r="AC285">
        <v>32</v>
      </c>
    </row>
    <row r="286" spans="1:29" x14ac:dyDescent="0.2">
      <c r="A286" t="s">
        <v>1150</v>
      </c>
      <c r="B286" t="s">
        <v>1151</v>
      </c>
      <c r="C286">
        <v>706743</v>
      </c>
      <c r="D286">
        <v>59806</v>
      </c>
      <c r="E286">
        <v>208</v>
      </c>
      <c r="F286" t="s">
        <v>1077</v>
      </c>
      <c r="G286">
        <v>2</v>
      </c>
      <c r="H286" s="3" t="s">
        <v>2067</v>
      </c>
      <c r="I286" s="3" t="s">
        <v>2081</v>
      </c>
      <c r="K286" t="s">
        <v>500</v>
      </c>
      <c r="L286" t="s">
        <v>176</v>
      </c>
      <c r="M286" t="s">
        <v>844</v>
      </c>
      <c r="P286" t="s">
        <v>858</v>
      </c>
      <c r="R286" t="s">
        <v>85</v>
      </c>
      <c r="W286" t="s">
        <v>848</v>
      </c>
      <c r="X286" t="s">
        <v>837</v>
      </c>
      <c r="Y286">
        <v>1</v>
      </c>
      <c r="AA286" t="s">
        <v>1152</v>
      </c>
      <c r="AB286" t="s">
        <v>842</v>
      </c>
      <c r="AC286">
        <v>32</v>
      </c>
    </row>
    <row r="287" spans="1:29" x14ac:dyDescent="0.2">
      <c r="A287" t="s">
        <v>1153</v>
      </c>
      <c r="B287" t="s">
        <v>1154</v>
      </c>
      <c r="C287">
        <v>1919182</v>
      </c>
      <c r="D287">
        <v>79278</v>
      </c>
      <c r="E287">
        <v>687</v>
      </c>
      <c r="F287" t="s">
        <v>1127</v>
      </c>
      <c r="G287">
        <v>3</v>
      </c>
      <c r="H287" s="3" t="s">
        <v>2067</v>
      </c>
      <c r="I287" s="3" t="s">
        <v>2081</v>
      </c>
      <c r="K287" t="s">
        <v>507</v>
      </c>
      <c r="L287" t="s">
        <v>176</v>
      </c>
      <c r="M287" t="s">
        <v>844</v>
      </c>
      <c r="P287" t="s">
        <v>858</v>
      </c>
      <c r="R287" t="s">
        <v>85</v>
      </c>
      <c r="W287" t="s">
        <v>839</v>
      </c>
      <c r="X287" t="s">
        <v>837</v>
      </c>
      <c r="Y287">
        <v>1</v>
      </c>
      <c r="AA287" t="s">
        <v>1155</v>
      </c>
      <c r="AB287" t="s">
        <v>842</v>
      </c>
      <c r="AC287">
        <v>32</v>
      </c>
    </row>
    <row r="288" spans="1:29" x14ac:dyDescent="0.2">
      <c r="A288" t="s">
        <v>1156</v>
      </c>
      <c r="B288" t="s">
        <v>1157</v>
      </c>
      <c r="C288">
        <v>8802561</v>
      </c>
      <c r="D288">
        <v>194257</v>
      </c>
      <c r="E288">
        <v>12998</v>
      </c>
      <c r="F288" t="s">
        <v>1067</v>
      </c>
      <c r="G288">
        <v>1</v>
      </c>
      <c r="H288" s="3" t="s">
        <v>2067</v>
      </c>
      <c r="I288" s="3" t="s">
        <v>2082</v>
      </c>
      <c r="K288" t="s">
        <v>511</v>
      </c>
      <c r="L288" t="s">
        <v>176</v>
      </c>
      <c r="M288" t="s">
        <v>844</v>
      </c>
      <c r="P288" t="s">
        <v>1083</v>
      </c>
      <c r="R288" t="s">
        <v>85</v>
      </c>
      <c r="W288" t="s">
        <v>875</v>
      </c>
      <c r="X288" t="s">
        <v>837</v>
      </c>
      <c r="Y288">
        <v>1</v>
      </c>
      <c r="AA288" t="s">
        <v>1158</v>
      </c>
      <c r="AB288" t="s">
        <v>842</v>
      </c>
      <c r="AC288">
        <v>32</v>
      </c>
    </row>
    <row r="289" spans="1:29" x14ac:dyDescent="0.2">
      <c r="A289" t="s">
        <v>1159</v>
      </c>
      <c r="B289" t="s">
        <v>1160</v>
      </c>
      <c r="C289">
        <v>67586275</v>
      </c>
      <c r="D289">
        <v>366020</v>
      </c>
      <c r="E289">
        <v>27068</v>
      </c>
      <c r="F289" t="s">
        <v>1077</v>
      </c>
      <c r="G289">
        <v>2</v>
      </c>
      <c r="H289" s="3" t="s">
        <v>2067</v>
      </c>
      <c r="I289" s="3" t="s">
        <v>2082</v>
      </c>
      <c r="K289" t="s">
        <v>515</v>
      </c>
      <c r="L289" t="s">
        <v>176</v>
      </c>
      <c r="M289" t="s">
        <v>844</v>
      </c>
      <c r="P289" t="s">
        <v>1083</v>
      </c>
      <c r="R289" t="s">
        <v>85</v>
      </c>
      <c r="W289" t="s">
        <v>996</v>
      </c>
      <c r="X289" t="s">
        <v>837</v>
      </c>
      <c r="Y289">
        <v>1</v>
      </c>
      <c r="AA289" t="s">
        <v>1161</v>
      </c>
      <c r="AB289" t="s">
        <v>842</v>
      </c>
      <c r="AC289">
        <v>32</v>
      </c>
    </row>
    <row r="290" spans="1:29" x14ac:dyDescent="0.2">
      <c r="A290" t="s">
        <v>1162</v>
      </c>
      <c r="B290" t="s">
        <v>1163</v>
      </c>
      <c r="C290">
        <v>20766696</v>
      </c>
      <c r="D290">
        <v>1543466</v>
      </c>
      <c r="E290">
        <v>6871</v>
      </c>
      <c r="F290" t="s">
        <v>1127</v>
      </c>
      <c r="G290">
        <v>3</v>
      </c>
      <c r="H290" s="3" t="s">
        <v>2067</v>
      </c>
      <c r="I290" s="3" t="s">
        <v>2082</v>
      </c>
      <c r="K290" t="s">
        <v>520</v>
      </c>
      <c r="L290" t="s">
        <v>176</v>
      </c>
      <c r="M290" t="s">
        <v>844</v>
      </c>
      <c r="P290" t="s">
        <v>1083</v>
      </c>
      <c r="R290" t="s">
        <v>85</v>
      </c>
      <c r="W290" t="s">
        <v>839</v>
      </c>
      <c r="X290" t="s">
        <v>837</v>
      </c>
      <c r="Y290">
        <v>1</v>
      </c>
      <c r="AA290" t="s">
        <v>1164</v>
      </c>
      <c r="AB290" t="s">
        <v>842</v>
      </c>
      <c r="AC290">
        <v>32</v>
      </c>
    </row>
    <row r="291" spans="1:29" x14ac:dyDescent="0.2">
      <c r="A291" t="s">
        <v>1165</v>
      </c>
      <c r="B291" t="s">
        <v>1166</v>
      </c>
      <c r="C291">
        <v>14188874</v>
      </c>
      <c r="D291">
        <v>13181292</v>
      </c>
      <c r="E291">
        <v>1630</v>
      </c>
      <c r="F291" t="s">
        <v>1067</v>
      </c>
      <c r="G291">
        <v>1</v>
      </c>
      <c r="H291" s="3" t="s">
        <v>2068</v>
      </c>
      <c r="K291" t="s">
        <v>1167</v>
      </c>
      <c r="L291" t="s">
        <v>176</v>
      </c>
      <c r="M291" t="s">
        <v>844</v>
      </c>
      <c r="N291" t="s">
        <v>1168</v>
      </c>
      <c r="P291" t="s">
        <v>1169</v>
      </c>
      <c r="R291" t="s">
        <v>85</v>
      </c>
      <c r="W291" t="s">
        <v>888</v>
      </c>
      <c r="X291" t="s">
        <v>837</v>
      </c>
      <c r="AA291" t="s">
        <v>900</v>
      </c>
      <c r="AB291" t="s">
        <v>53</v>
      </c>
      <c r="AC291">
        <v>33</v>
      </c>
    </row>
    <row r="292" spans="1:29" x14ac:dyDescent="0.2">
      <c r="A292" t="s">
        <v>1170</v>
      </c>
      <c r="B292" t="s">
        <v>1171</v>
      </c>
      <c r="C292">
        <v>7553850</v>
      </c>
      <c r="D292">
        <v>7102121</v>
      </c>
      <c r="E292">
        <v>815</v>
      </c>
      <c r="F292" t="s">
        <v>1127</v>
      </c>
      <c r="G292">
        <v>3</v>
      </c>
      <c r="H292" s="3" t="s">
        <v>2068</v>
      </c>
      <c r="K292" t="s">
        <v>1172</v>
      </c>
      <c r="L292" t="s">
        <v>176</v>
      </c>
      <c r="M292" t="s">
        <v>844</v>
      </c>
      <c r="N292" t="s">
        <v>1168</v>
      </c>
      <c r="P292" t="s">
        <v>1169</v>
      </c>
      <c r="R292" t="s">
        <v>85</v>
      </c>
      <c r="W292" t="s">
        <v>907</v>
      </c>
      <c r="X292" t="s">
        <v>837</v>
      </c>
      <c r="AA292" t="s">
        <v>904</v>
      </c>
      <c r="AB292" t="s">
        <v>53</v>
      </c>
      <c r="AC292">
        <v>33</v>
      </c>
    </row>
    <row r="293" spans="1:29" x14ac:dyDescent="0.2">
      <c r="A293" t="s">
        <v>1173</v>
      </c>
      <c r="B293" t="s">
        <v>1174</v>
      </c>
      <c r="C293">
        <v>12960640</v>
      </c>
      <c r="D293">
        <v>83744</v>
      </c>
      <c r="E293">
        <v>5936</v>
      </c>
      <c r="F293" t="s">
        <v>1067</v>
      </c>
      <c r="G293">
        <v>1</v>
      </c>
      <c r="H293" s="3" t="s">
        <v>2067</v>
      </c>
      <c r="I293" s="3" t="s">
        <v>838</v>
      </c>
      <c r="K293" t="s">
        <v>1175</v>
      </c>
      <c r="L293" t="s">
        <v>176</v>
      </c>
      <c r="M293" t="s">
        <v>844</v>
      </c>
      <c r="P293" t="s">
        <v>858</v>
      </c>
      <c r="R293" t="s">
        <v>85</v>
      </c>
      <c r="W293" t="s">
        <v>880</v>
      </c>
      <c r="X293" t="s">
        <v>837</v>
      </c>
      <c r="AA293" t="s">
        <v>841</v>
      </c>
      <c r="AB293" t="s">
        <v>53</v>
      </c>
      <c r="AC293">
        <v>33</v>
      </c>
    </row>
    <row r="294" spans="1:29" x14ac:dyDescent="0.2">
      <c r="A294" t="s">
        <v>1176</v>
      </c>
      <c r="B294" t="s">
        <v>1177</v>
      </c>
      <c r="C294">
        <v>10385541</v>
      </c>
      <c r="D294">
        <v>9163530</v>
      </c>
      <c r="E294">
        <v>1427</v>
      </c>
      <c r="F294" t="s">
        <v>1077</v>
      </c>
      <c r="G294">
        <v>2</v>
      </c>
      <c r="H294" s="3" t="s">
        <v>2067</v>
      </c>
      <c r="I294" s="3" t="s">
        <v>838</v>
      </c>
      <c r="K294" t="s">
        <v>1178</v>
      </c>
      <c r="L294" t="s">
        <v>176</v>
      </c>
      <c r="M294" t="s">
        <v>844</v>
      </c>
      <c r="P294" t="s">
        <v>858</v>
      </c>
      <c r="R294" t="s">
        <v>85</v>
      </c>
      <c r="W294" t="s">
        <v>903</v>
      </c>
      <c r="X294" t="s">
        <v>837</v>
      </c>
      <c r="Y294">
        <v>2</v>
      </c>
      <c r="AA294" t="s">
        <v>932</v>
      </c>
      <c r="AB294" t="s">
        <v>53</v>
      </c>
      <c r="AC294">
        <v>33</v>
      </c>
    </row>
    <row r="295" spans="1:29" x14ac:dyDescent="0.2">
      <c r="A295" t="s">
        <v>1179</v>
      </c>
      <c r="B295" t="s">
        <v>1180</v>
      </c>
      <c r="C295">
        <v>14255541</v>
      </c>
      <c r="D295">
        <v>13200291</v>
      </c>
      <c r="E295">
        <v>1806</v>
      </c>
      <c r="F295" t="s">
        <v>1127</v>
      </c>
      <c r="G295">
        <v>3</v>
      </c>
      <c r="H295" s="3" t="s">
        <v>2067</v>
      </c>
      <c r="I295" s="3" t="s">
        <v>838</v>
      </c>
      <c r="K295" t="s">
        <v>1181</v>
      </c>
      <c r="L295" t="s">
        <v>176</v>
      </c>
      <c r="M295" t="s">
        <v>844</v>
      </c>
      <c r="P295" t="s">
        <v>858</v>
      </c>
      <c r="R295" t="s">
        <v>85</v>
      </c>
      <c r="W295" t="s">
        <v>866</v>
      </c>
      <c r="X295" t="s">
        <v>837</v>
      </c>
      <c r="AA295" t="s">
        <v>849</v>
      </c>
      <c r="AB295" t="s">
        <v>53</v>
      </c>
      <c r="AC295">
        <v>33</v>
      </c>
    </row>
    <row r="296" spans="1:29" x14ac:dyDescent="0.2">
      <c r="A296" t="s">
        <v>1182</v>
      </c>
      <c r="B296" t="s">
        <v>1183</v>
      </c>
      <c r="C296">
        <v>38413</v>
      </c>
      <c r="D296">
        <v>16586</v>
      </c>
      <c r="E296">
        <v>19</v>
      </c>
      <c r="F296" t="s">
        <v>1067</v>
      </c>
      <c r="G296">
        <v>1</v>
      </c>
      <c r="H296" s="3" t="s">
        <v>2067</v>
      </c>
      <c r="I296" s="3" t="s">
        <v>838</v>
      </c>
      <c r="K296" t="s">
        <v>1184</v>
      </c>
      <c r="L296" t="s">
        <v>176</v>
      </c>
      <c r="M296" t="s">
        <v>844</v>
      </c>
      <c r="P296" t="s">
        <v>1169</v>
      </c>
      <c r="R296" t="s">
        <v>85</v>
      </c>
      <c r="W296" t="s">
        <v>856</v>
      </c>
      <c r="X296" t="s">
        <v>837</v>
      </c>
      <c r="AA296" t="s">
        <v>857</v>
      </c>
      <c r="AB296" t="s">
        <v>53</v>
      </c>
      <c r="AC296">
        <v>33</v>
      </c>
    </row>
    <row r="297" spans="1:29" x14ac:dyDescent="0.2">
      <c r="A297" t="s">
        <v>1185</v>
      </c>
      <c r="B297" t="s">
        <v>1186</v>
      </c>
      <c r="C297">
        <v>18013663</v>
      </c>
      <c r="D297">
        <v>17103728</v>
      </c>
      <c r="E297">
        <v>2266</v>
      </c>
      <c r="F297" t="s">
        <v>1077</v>
      </c>
      <c r="G297">
        <v>2</v>
      </c>
      <c r="H297" s="3" t="s">
        <v>2067</v>
      </c>
      <c r="I297" s="3" t="s">
        <v>838</v>
      </c>
      <c r="K297" t="s">
        <v>1187</v>
      </c>
      <c r="L297" t="s">
        <v>176</v>
      </c>
      <c r="M297" t="s">
        <v>844</v>
      </c>
      <c r="P297" t="s">
        <v>1169</v>
      </c>
      <c r="R297" t="s">
        <v>85</v>
      </c>
      <c r="W297" t="s">
        <v>964</v>
      </c>
      <c r="X297" t="s">
        <v>837</v>
      </c>
      <c r="Y297">
        <v>2</v>
      </c>
      <c r="AA297" t="s">
        <v>943</v>
      </c>
      <c r="AB297" t="s">
        <v>53</v>
      </c>
      <c r="AC297">
        <v>33</v>
      </c>
    </row>
    <row r="298" spans="1:29" x14ac:dyDescent="0.2">
      <c r="A298" t="s">
        <v>1188</v>
      </c>
      <c r="B298" t="s">
        <v>1189</v>
      </c>
      <c r="C298">
        <v>1873</v>
      </c>
      <c r="D298">
        <v>1014</v>
      </c>
      <c r="E298">
        <v>1</v>
      </c>
      <c r="F298" t="s">
        <v>1127</v>
      </c>
      <c r="G298">
        <v>3</v>
      </c>
      <c r="H298" s="3" t="s">
        <v>2067</v>
      </c>
      <c r="I298" s="3" t="s">
        <v>838</v>
      </c>
      <c r="K298" t="s">
        <v>1190</v>
      </c>
      <c r="L298" t="s">
        <v>176</v>
      </c>
      <c r="M298" t="s">
        <v>844</v>
      </c>
      <c r="P298" t="s">
        <v>1169</v>
      </c>
      <c r="R298" t="s">
        <v>85</v>
      </c>
      <c r="W298" t="s">
        <v>848</v>
      </c>
      <c r="X298" t="s">
        <v>837</v>
      </c>
      <c r="AA298" t="s">
        <v>863</v>
      </c>
      <c r="AB298" t="s">
        <v>53</v>
      </c>
      <c r="AC298">
        <v>33</v>
      </c>
    </row>
    <row r="299" spans="1:29" x14ac:dyDescent="0.2">
      <c r="A299" t="s">
        <v>1191</v>
      </c>
      <c r="B299" t="s">
        <v>1192</v>
      </c>
      <c r="C299">
        <v>6253017</v>
      </c>
      <c r="D299">
        <v>1867037</v>
      </c>
      <c r="E299">
        <v>1997</v>
      </c>
      <c r="F299" t="s">
        <v>1067</v>
      </c>
      <c r="G299">
        <v>1</v>
      </c>
      <c r="H299" s="3" t="s">
        <v>2067</v>
      </c>
      <c r="I299" s="3" t="s">
        <v>2081</v>
      </c>
      <c r="K299" t="s">
        <v>1193</v>
      </c>
      <c r="L299" t="s">
        <v>176</v>
      </c>
      <c r="M299" t="s">
        <v>844</v>
      </c>
      <c r="P299" t="s">
        <v>858</v>
      </c>
      <c r="R299" t="s">
        <v>85</v>
      </c>
      <c r="W299" t="s">
        <v>955</v>
      </c>
      <c r="X299" t="s">
        <v>837</v>
      </c>
      <c r="AA299" t="s">
        <v>876</v>
      </c>
      <c r="AB299" t="s">
        <v>53</v>
      </c>
      <c r="AC299">
        <v>33</v>
      </c>
    </row>
    <row r="300" spans="1:29" x14ac:dyDescent="0.2">
      <c r="A300" t="s">
        <v>1194</v>
      </c>
      <c r="B300" t="s">
        <v>1195</v>
      </c>
      <c r="C300">
        <v>10478010</v>
      </c>
      <c r="D300">
        <v>9721279</v>
      </c>
      <c r="E300">
        <v>1387</v>
      </c>
      <c r="F300" t="s">
        <v>1077</v>
      </c>
      <c r="G300">
        <v>2</v>
      </c>
      <c r="H300" s="3" t="s">
        <v>2067</v>
      </c>
      <c r="I300" s="3" t="s">
        <v>2081</v>
      </c>
      <c r="K300" t="s">
        <v>1196</v>
      </c>
      <c r="L300" t="s">
        <v>176</v>
      </c>
      <c r="M300" t="s">
        <v>844</v>
      </c>
      <c r="P300" t="s">
        <v>858</v>
      </c>
      <c r="R300" t="s">
        <v>85</v>
      </c>
      <c r="W300" t="s">
        <v>866</v>
      </c>
      <c r="X300" t="s">
        <v>837</v>
      </c>
      <c r="Y300">
        <v>2</v>
      </c>
      <c r="AA300" t="s">
        <v>965</v>
      </c>
      <c r="AB300" t="s">
        <v>53</v>
      </c>
      <c r="AC300">
        <v>33</v>
      </c>
    </row>
    <row r="301" spans="1:29" x14ac:dyDescent="0.2">
      <c r="A301" t="s">
        <v>1197</v>
      </c>
      <c r="B301" t="s">
        <v>1198</v>
      </c>
      <c r="C301">
        <v>520405</v>
      </c>
      <c r="D301">
        <v>32121</v>
      </c>
      <c r="E301">
        <v>510</v>
      </c>
      <c r="F301" t="s">
        <v>1127</v>
      </c>
      <c r="G301">
        <v>3</v>
      </c>
      <c r="H301" s="3" t="s">
        <v>2067</v>
      </c>
      <c r="I301" s="3" t="s">
        <v>2081</v>
      </c>
      <c r="K301" t="s">
        <v>1199</v>
      </c>
      <c r="L301" t="s">
        <v>176</v>
      </c>
      <c r="M301" t="s">
        <v>844</v>
      </c>
      <c r="P301" t="s">
        <v>858</v>
      </c>
      <c r="R301" t="s">
        <v>85</v>
      </c>
      <c r="W301" t="s">
        <v>955</v>
      </c>
      <c r="X301" t="s">
        <v>837</v>
      </c>
      <c r="AA301" t="s">
        <v>881</v>
      </c>
      <c r="AB301" t="s">
        <v>53</v>
      </c>
      <c r="AC301">
        <v>33</v>
      </c>
    </row>
    <row r="302" spans="1:29" x14ac:dyDescent="0.2">
      <c r="A302" t="s">
        <v>1200</v>
      </c>
      <c r="B302" t="s">
        <v>1201</v>
      </c>
      <c r="C302">
        <v>2645772</v>
      </c>
      <c r="D302">
        <v>2173478</v>
      </c>
      <c r="E302">
        <v>1529</v>
      </c>
      <c r="F302" t="s">
        <v>1067</v>
      </c>
      <c r="G302">
        <v>1</v>
      </c>
      <c r="H302" s="3" t="s">
        <v>2067</v>
      </c>
      <c r="I302" s="3" t="s">
        <v>2081</v>
      </c>
      <c r="K302" t="s">
        <v>1202</v>
      </c>
      <c r="L302" t="s">
        <v>176</v>
      </c>
      <c r="M302" t="s">
        <v>844</v>
      </c>
      <c r="P302" t="s">
        <v>1169</v>
      </c>
      <c r="R302" t="s">
        <v>85</v>
      </c>
      <c r="W302" t="s">
        <v>977</v>
      </c>
      <c r="X302" t="s">
        <v>837</v>
      </c>
      <c r="AA302" t="s">
        <v>889</v>
      </c>
      <c r="AB302" t="s">
        <v>53</v>
      </c>
      <c r="AC302">
        <v>33</v>
      </c>
    </row>
    <row r="303" spans="1:29" x14ac:dyDescent="0.2">
      <c r="A303" t="s">
        <v>1203</v>
      </c>
      <c r="B303" t="s">
        <v>1204</v>
      </c>
      <c r="C303">
        <v>5688689</v>
      </c>
      <c r="D303">
        <v>5122151</v>
      </c>
      <c r="E303">
        <v>869</v>
      </c>
      <c r="F303" t="s">
        <v>1077</v>
      </c>
      <c r="G303">
        <v>2</v>
      </c>
      <c r="H303" s="3" t="s">
        <v>2067</v>
      </c>
      <c r="I303" s="3" t="s">
        <v>2081</v>
      </c>
      <c r="K303" t="s">
        <v>1205</v>
      </c>
      <c r="L303" t="s">
        <v>176</v>
      </c>
      <c r="M303" t="s">
        <v>844</v>
      </c>
      <c r="P303" t="s">
        <v>1169</v>
      </c>
      <c r="R303" t="s">
        <v>85</v>
      </c>
      <c r="W303" t="s">
        <v>903</v>
      </c>
      <c r="X303" t="s">
        <v>837</v>
      </c>
      <c r="Y303">
        <v>2</v>
      </c>
      <c r="AA303" t="s">
        <v>974</v>
      </c>
      <c r="AB303" t="s">
        <v>53</v>
      </c>
      <c r="AC303">
        <v>33</v>
      </c>
    </row>
    <row r="304" spans="1:29" x14ac:dyDescent="0.2">
      <c r="A304" t="s">
        <v>1206</v>
      </c>
      <c r="B304" t="s">
        <v>1207</v>
      </c>
      <c r="C304">
        <v>15711139</v>
      </c>
      <c r="D304">
        <v>12814331</v>
      </c>
      <c r="E304">
        <v>2318</v>
      </c>
      <c r="F304" t="s">
        <v>1127</v>
      </c>
      <c r="G304">
        <v>3</v>
      </c>
      <c r="H304" s="3" t="s">
        <v>2067</v>
      </c>
      <c r="I304" s="3" t="s">
        <v>2081</v>
      </c>
      <c r="K304" t="s">
        <v>1208</v>
      </c>
      <c r="L304" t="s">
        <v>176</v>
      </c>
      <c r="M304" t="s">
        <v>844</v>
      </c>
      <c r="P304" t="s">
        <v>1169</v>
      </c>
      <c r="R304" t="s">
        <v>85</v>
      </c>
      <c r="W304" t="s">
        <v>896</v>
      </c>
      <c r="X304" t="s">
        <v>837</v>
      </c>
      <c r="AA304" t="s">
        <v>893</v>
      </c>
      <c r="AB304" t="s">
        <v>53</v>
      </c>
      <c r="AC304">
        <v>33</v>
      </c>
    </row>
    <row r="305" spans="1:29" x14ac:dyDescent="0.2">
      <c r="A305" t="s">
        <v>1209</v>
      </c>
      <c r="B305" t="s">
        <v>1210</v>
      </c>
      <c r="C305">
        <v>6227537</v>
      </c>
      <c r="D305">
        <v>5596784</v>
      </c>
      <c r="E305">
        <v>1146</v>
      </c>
      <c r="F305" t="s">
        <v>1067</v>
      </c>
      <c r="G305">
        <v>1</v>
      </c>
      <c r="H305" s="3" t="s">
        <v>2067</v>
      </c>
      <c r="I305" s="3" t="s">
        <v>2082</v>
      </c>
      <c r="K305" t="s">
        <v>1211</v>
      </c>
      <c r="L305" t="s">
        <v>176</v>
      </c>
      <c r="M305" t="s">
        <v>844</v>
      </c>
      <c r="P305" t="s">
        <v>858</v>
      </c>
      <c r="R305" t="s">
        <v>85</v>
      </c>
      <c r="W305" t="s">
        <v>856</v>
      </c>
      <c r="X305" t="s">
        <v>837</v>
      </c>
      <c r="AA305" t="s">
        <v>911</v>
      </c>
      <c r="AB305" t="s">
        <v>53</v>
      </c>
      <c r="AC305">
        <v>33</v>
      </c>
    </row>
    <row r="306" spans="1:29" x14ac:dyDescent="0.2">
      <c r="A306" t="s">
        <v>1212</v>
      </c>
      <c r="B306" t="s">
        <v>1213</v>
      </c>
      <c r="C306">
        <v>17071417</v>
      </c>
      <c r="D306">
        <v>15937395</v>
      </c>
      <c r="E306">
        <v>1835</v>
      </c>
      <c r="F306" t="s">
        <v>1077</v>
      </c>
      <c r="G306">
        <v>2</v>
      </c>
      <c r="H306" s="3" t="s">
        <v>2067</v>
      </c>
      <c r="I306" s="3" t="s">
        <v>2082</v>
      </c>
      <c r="K306" t="s">
        <v>1214</v>
      </c>
      <c r="L306" t="s">
        <v>176</v>
      </c>
      <c r="M306" t="s">
        <v>844</v>
      </c>
      <c r="P306" t="s">
        <v>858</v>
      </c>
      <c r="R306" t="s">
        <v>85</v>
      </c>
      <c r="W306" t="s">
        <v>839</v>
      </c>
      <c r="X306" t="s">
        <v>837</v>
      </c>
      <c r="Y306">
        <v>2</v>
      </c>
      <c r="AA306" t="s">
        <v>990</v>
      </c>
      <c r="AB306" t="s">
        <v>53</v>
      </c>
      <c r="AC306">
        <v>33</v>
      </c>
    </row>
    <row r="307" spans="1:29" x14ac:dyDescent="0.2">
      <c r="A307" t="s">
        <v>1215</v>
      </c>
      <c r="B307" t="s">
        <v>1216</v>
      </c>
      <c r="C307">
        <v>10769633</v>
      </c>
      <c r="D307">
        <v>9675510</v>
      </c>
      <c r="E307">
        <v>1546</v>
      </c>
      <c r="F307" t="s">
        <v>1127</v>
      </c>
      <c r="G307">
        <v>3</v>
      </c>
      <c r="H307" s="3" t="s">
        <v>2067</v>
      </c>
      <c r="I307" s="3" t="s">
        <v>2082</v>
      </c>
      <c r="K307" t="s">
        <v>1217</v>
      </c>
      <c r="L307" t="s">
        <v>176</v>
      </c>
      <c r="M307" t="s">
        <v>844</v>
      </c>
      <c r="P307" t="s">
        <v>858</v>
      </c>
      <c r="R307" t="s">
        <v>85</v>
      </c>
      <c r="W307" t="s">
        <v>996</v>
      </c>
      <c r="X307" t="s">
        <v>837</v>
      </c>
      <c r="AA307" t="s">
        <v>915</v>
      </c>
      <c r="AB307" t="s">
        <v>53</v>
      </c>
      <c r="AC307">
        <v>33</v>
      </c>
    </row>
    <row r="308" spans="1:29" x14ac:dyDescent="0.2">
      <c r="A308" t="s">
        <v>1218</v>
      </c>
      <c r="B308" t="s">
        <v>1219</v>
      </c>
      <c r="C308">
        <v>14718260</v>
      </c>
      <c r="D308">
        <v>6168615</v>
      </c>
      <c r="E308">
        <v>3895</v>
      </c>
      <c r="F308" t="s">
        <v>1067</v>
      </c>
      <c r="G308">
        <v>1</v>
      </c>
      <c r="H308" s="3" t="s">
        <v>2067</v>
      </c>
      <c r="I308" s="3" t="s">
        <v>2082</v>
      </c>
      <c r="K308" t="s">
        <v>1220</v>
      </c>
      <c r="L308" t="s">
        <v>176</v>
      </c>
      <c r="M308" t="s">
        <v>844</v>
      </c>
      <c r="P308" t="s">
        <v>1169</v>
      </c>
      <c r="R308" t="s">
        <v>85</v>
      </c>
      <c r="W308" t="s">
        <v>996</v>
      </c>
      <c r="X308" t="s">
        <v>837</v>
      </c>
      <c r="AA308" t="s">
        <v>922</v>
      </c>
      <c r="AB308" t="s">
        <v>53</v>
      </c>
      <c r="AC308">
        <v>33</v>
      </c>
    </row>
    <row r="309" spans="1:29" x14ac:dyDescent="0.2">
      <c r="A309" t="s">
        <v>1221</v>
      </c>
      <c r="B309" t="s">
        <v>1222</v>
      </c>
      <c r="C309">
        <v>956363</v>
      </c>
      <c r="D309">
        <v>34327</v>
      </c>
      <c r="E309">
        <v>873</v>
      </c>
      <c r="F309" t="s">
        <v>1077</v>
      </c>
      <c r="G309">
        <v>2</v>
      </c>
      <c r="H309" s="3" t="s">
        <v>2067</v>
      </c>
      <c r="I309" s="3" t="s">
        <v>2082</v>
      </c>
      <c r="K309" t="s">
        <v>1223</v>
      </c>
      <c r="L309" t="s">
        <v>176</v>
      </c>
      <c r="M309" t="s">
        <v>844</v>
      </c>
      <c r="P309" t="s">
        <v>1169</v>
      </c>
      <c r="R309" t="s">
        <v>85</v>
      </c>
      <c r="W309" t="s">
        <v>35</v>
      </c>
      <c r="X309" t="s">
        <v>837</v>
      </c>
      <c r="Y309">
        <v>2</v>
      </c>
      <c r="AA309" t="s">
        <v>1000</v>
      </c>
      <c r="AB309" t="s">
        <v>53</v>
      </c>
      <c r="AC309">
        <v>33</v>
      </c>
    </row>
    <row r="310" spans="1:29" x14ac:dyDescent="0.2">
      <c r="A310" t="s">
        <v>1224</v>
      </c>
      <c r="B310" t="s">
        <v>1225</v>
      </c>
      <c r="C310">
        <v>12724369</v>
      </c>
      <c r="D310">
        <v>11925408</v>
      </c>
      <c r="E310">
        <v>1567</v>
      </c>
      <c r="F310" t="s">
        <v>1127</v>
      </c>
      <c r="G310">
        <v>3</v>
      </c>
      <c r="H310" s="3" t="s">
        <v>2067</v>
      </c>
      <c r="I310" s="3" t="s">
        <v>2082</v>
      </c>
      <c r="K310" t="s">
        <v>1226</v>
      </c>
      <c r="L310" t="s">
        <v>176</v>
      </c>
      <c r="M310" t="s">
        <v>844</v>
      </c>
      <c r="P310" t="s">
        <v>1169</v>
      </c>
      <c r="R310" t="s">
        <v>85</v>
      </c>
      <c r="W310" t="s">
        <v>977</v>
      </c>
      <c r="X310" t="s">
        <v>837</v>
      </c>
      <c r="AA310" t="s">
        <v>926</v>
      </c>
      <c r="AB310" t="s">
        <v>53</v>
      </c>
      <c r="AC310">
        <v>33</v>
      </c>
    </row>
    <row r="311" spans="1:29" x14ac:dyDescent="0.2">
      <c r="A311" t="s">
        <v>1227</v>
      </c>
      <c r="B311" t="s">
        <v>1228</v>
      </c>
      <c r="C311">
        <v>7892821</v>
      </c>
      <c r="D311">
        <v>7057547</v>
      </c>
      <c r="E311">
        <v>1008</v>
      </c>
      <c r="F311" t="s">
        <v>1230</v>
      </c>
      <c r="G311">
        <v>3</v>
      </c>
      <c r="H311" s="3" t="s">
        <v>2068</v>
      </c>
      <c r="J311" s="3" t="s">
        <v>2084</v>
      </c>
      <c r="K311" t="s">
        <v>1229</v>
      </c>
      <c r="L311" t="s">
        <v>176</v>
      </c>
      <c r="M311" t="s">
        <v>844</v>
      </c>
      <c r="N311" t="s">
        <v>1168</v>
      </c>
      <c r="P311" t="s">
        <v>1169</v>
      </c>
      <c r="R311" t="s">
        <v>85</v>
      </c>
      <c r="W311" t="s">
        <v>35</v>
      </c>
      <c r="X311" t="s">
        <v>837</v>
      </c>
      <c r="AA311" t="s">
        <v>936</v>
      </c>
      <c r="AB311" t="s">
        <v>53</v>
      </c>
      <c r="AC311">
        <v>34</v>
      </c>
    </row>
    <row r="312" spans="1:29" x14ac:dyDescent="0.2">
      <c r="A312" t="s">
        <v>1231</v>
      </c>
      <c r="B312" t="s">
        <v>1232</v>
      </c>
      <c r="C312">
        <v>3092347</v>
      </c>
      <c r="D312">
        <v>2726254</v>
      </c>
      <c r="E312">
        <v>650</v>
      </c>
      <c r="F312" t="s">
        <v>1230</v>
      </c>
      <c r="G312">
        <v>3</v>
      </c>
      <c r="H312" s="3" t="s">
        <v>2068</v>
      </c>
      <c r="J312" s="3" t="s">
        <v>2084</v>
      </c>
      <c r="K312" t="s">
        <v>1233</v>
      </c>
      <c r="L312" t="s">
        <v>176</v>
      </c>
      <c r="M312" t="s">
        <v>844</v>
      </c>
      <c r="N312" t="s">
        <v>1168</v>
      </c>
      <c r="P312" t="s">
        <v>1169</v>
      </c>
      <c r="R312" t="s">
        <v>85</v>
      </c>
      <c r="W312" t="s">
        <v>839</v>
      </c>
      <c r="X312" t="s">
        <v>837</v>
      </c>
      <c r="AA312" t="s">
        <v>981</v>
      </c>
      <c r="AB312" t="s">
        <v>53</v>
      </c>
      <c r="AC312">
        <v>34</v>
      </c>
    </row>
    <row r="313" spans="1:29" x14ac:dyDescent="0.2">
      <c r="A313" t="s">
        <v>1234</v>
      </c>
      <c r="B313" t="s">
        <v>1235</v>
      </c>
      <c r="C313">
        <v>11033977</v>
      </c>
      <c r="D313">
        <v>9846426</v>
      </c>
      <c r="E313">
        <v>1134</v>
      </c>
      <c r="F313" t="s">
        <v>1077</v>
      </c>
      <c r="G313">
        <v>1</v>
      </c>
      <c r="H313" s="3" t="s">
        <v>2068</v>
      </c>
      <c r="J313" s="3" t="s">
        <v>2084</v>
      </c>
      <c r="K313" t="s">
        <v>1236</v>
      </c>
      <c r="L313" t="s">
        <v>176</v>
      </c>
      <c r="M313" t="s">
        <v>844</v>
      </c>
      <c r="N313" t="s">
        <v>1168</v>
      </c>
      <c r="P313" t="s">
        <v>1169</v>
      </c>
      <c r="R313" t="s">
        <v>85</v>
      </c>
      <c r="W313" t="s">
        <v>1237</v>
      </c>
      <c r="X313" t="s">
        <v>837</v>
      </c>
      <c r="AA313" t="s">
        <v>952</v>
      </c>
      <c r="AB313" t="s">
        <v>53</v>
      </c>
      <c r="AC313">
        <v>34</v>
      </c>
    </row>
    <row r="314" spans="1:29" x14ac:dyDescent="0.2">
      <c r="A314" t="s">
        <v>1238</v>
      </c>
      <c r="B314" t="s">
        <v>1239</v>
      </c>
      <c r="C314">
        <v>20051713</v>
      </c>
      <c r="D314">
        <v>19112701</v>
      </c>
      <c r="E314">
        <v>2236</v>
      </c>
      <c r="F314" t="s">
        <v>1077</v>
      </c>
      <c r="G314">
        <v>1</v>
      </c>
      <c r="H314" s="3" t="s">
        <v>2068</v>
      </c>
      <c r="J314" s="3" t="s">
        <v>2084</v>
      </c>
      <c r="K314" t="s">
        <v>1240</v>
      </c>
      <c r="L314" t="s">
        <v>176</v>
      </c>
      <c r="M314" t="s">
        <v>844</v>
      </c>
      <c r="N314" t="s">
        <v>1168</v>
      </c>
      <c r="P314" t="s">
        <v>1169</v>
      </c>
      <c r="R314" t="s">
        <v>85</v>
      </c>
      <c r="W314" t="s">
        <v>1241</v>
      </c>
      <c r="X314" t="s">
        <v>837</v>
      </c>
      <c r="AA314" t="s">
        <v>1093</v>
      </c>
      <c r="AB314" t="s">
        <v>53</v>
      </c>
      <c r="AC314">
        <v>34</v>
      </c>
    </row>
    <row r="315" spans="1:29" x14ac:dyDescent="0.2">
      <c r="A315" t="s">
        <v>1242</v>
      </c>
      <c r="B315" t="s">
        <v>1243</v>
      </c>
      <c r="C315">
        <v>17079450</v>
      </c>
      <c r="D315">
        <v>16080094</v>
      </c>
      <c r="E315">
        <v>2058</v>
      </c>
      <c r="F315" t="s">
        <v>1127</v>
      </c>
      <c r="G315">
        <v>2</v>
      </c>
      <c r="H315" s="3" t="s">
        <v>2068</v>
      </c>
      <c r="K315" t="s">
        <v>1244</v>
      </c>
      <c r="L315" t="s">
        <v>176</v>
      </c>
      <c r="M315" t="s">
        <v>844</v>
      </c>
      <c r="N315" t="s">
        <v>1168</v>
      </c>
      <c r="P315" t="s">
        <v>1169</v>
      </c>
      <c r="R315" t="s">
        <v>85</v>
      </c>
      <c r="W315" t="s">
        <v>35</v>
      </c>
      <c r="X315" t="s">
        <v>837</v>
      </c>
      <c r="AA315" t="s">
        <v>946</v>
      </c>
      <c r="AB315" t="s">
        <v>53</v>
      </c>
      <c r="AC315">
        <v>34</v>
      </c>
    </row>
    <row r="316" spans="1:29" x14ac:dyDescent="0.2">
      <c r="A316" t="s">
        <v>1245</v>
      </c>
      <c r="B316" t="s">
        <v>1246</v>
      </c>
      <c r="C316">
        <v>26587785</v>
      </c>
      <c r="D316">
        <v>1611168</v>
      </c>
      <c r="E316">
        <v>10088</v>
      </c>
      <c r="F316" t="s">
        <v>1077</v>
      </c>
      <c r="G316">
        <v>1</v>
      </c>
      <c r="H316" s="3" t="s">
        <v>2067</v>
      </c>
      <c r="I316" s="3" t="s">
        <v>838</v>
      </c>
      <c r="K316" t="s">
        <v>1247</v>
      </c>
      <c r="L316" t="s">
        <v>176</v>
      </c>
      <c r="M316" t="s">
        <v>844</v>
      </c>
      <c r="P316" t="s">
        <v>1169</v>
      </c>
      <c r="R316" t="s">
        <v>85</v>
      </c>
      <c r="W316" t="s">
        <v>35</v>
      </c>
      <c r="X316" t="s">
        <v>837</v>
      </c>
      <c r="Y316">
        <v>2</v>
      </c>
      <c r="AA316" t="s">
        <v>853</v>
      </c>
      <c r="AB316" t="s">
        <v>53</v>
      </c>
      <c r="AC316">
        <v>34</v>
      </c>
    </row>
    <row r="317" spans="1:29" x14ac:dyDescent="0.2">
      <c r="A317" t="s">
        <v>1248</v>
      </c>
      <c r="B317" t="s">
        <v>1249</v>
      </c>
      <c r="C317">
        <v>25246867</v>
      </c>
      <c r="D317">
        <v>1728855</v>
      </c>
      <c r="E317">
        <v>8623</v>
      </c>
      <c r="F317" t="s">
        <v>1127</v>
      </c>
      <c r="G317">
        <v>2</v>
      </c>
      <c r="H317" s="3" t="s">
        <v>2067</v>
      </c>
      <c r="I317" s="3" t="s">
        <v>838</v>
      </c>
      <c r="K317" t="s">
        <v>1250</v>
      </c>
      <c r="L317" t="s">
        <v>176</v>
      </c>
      <c r="M317" t="s">
        <v>844</v>
      </c>
      <c r="P317" t="s">
        <v>1169</v>
      </c>
      <c r="R317" t="s">
        <v>85</v>
      </c>
      <c r="W317" t="s">
        <v>903</v>
      </c>
      <c r="X317" t="s">
        <v>837</v>
      </c>
      <c r="AA317" t="s">
        <v>1016</v>
      </c>
      <c r="AB317" t="s">
        <v>53</v>
      </c>
      <c r="AC317">
        <v>34</v>
      </c>
    </row>
    <row r="318" spans="1:29" x14ac:dyDescent="0.2">
      <c r="A318" t="s">
        <v>1251</v>
      </c>
      <c r="B318" t="s">
        <v>1252</v>
      </c>
      <c r="C318">
        <v>29910841</v>
      </c>
      <c r="D318">
        <v>2489453</v>
      </c>
      <c r="E318">
        <v>10235</v>
      </c>
      <c r="F318" t="s">
        <v>1230</v>
      </c>
      <c r="G318">
        <v>3</v>
      </c>
      <c r="H318" s="3" t="s">
        <v>2067</v>
      </c>
      <c r="I318" s="3" t="s">
        <v>838</v>
      </c>
      <c r="K318" t="s">
        <v>1253</v>
      </c>
      <c r="L318" t="s">
        <v>176</v>
      </c>
      <c r="M318" t="s">
        <v>844</v>
      </c>
      <c r="P318" t="s">
        <v>1169</v>
      </c>
      <c r="R318" t="s">
        <v>85</v>
      </c>
      <c r="W318" t="s">
        <v>1237</v>
      </c>
      <c r="X318" t="s">
        <v>837</v>
      </c>
      <c r="Y318">
        <v>2</v>
      </c>
      <c r="AA318" t="s">
        <v>872</v>
      </c>
      <c r="AB318" t="s">
        <v>53</v>
      </c>
      <c r="AC318">
        <v>34</v>
      </c>
    </row>
    <row r="319" spans="1:29" x14ac:dyDescent="0.2">
      <c r="A319" t="s">
        <v>1254</v>
      </c>
      <c r="B319" t="s">
        <v>1255</v>
      </c>
      <c r="C319">
        <v>23314207</v>
      </c>
      <c r="D319">
        <v>8181993</v>
      </c>
      <c r="E319">
        <v>6876</v>
      </c>
      <c r="F319" t="s">
        <v>1077</v>
      </c>
      <c r="G319">
        <v>1</v>
      </c>
      <c r="H319" s="3" t="s">
        <v>2067</v>
      </c>
      <c r="I319" s="3" t="s">
        <v>838</v>
      </c>
      <c r="K319" t="s">
        <v>1256</v>
      </c>
      <c r="L319" t="s">
        <v>176</v>
      </c>
      <c r="M319" t="s">
        <v>844</v>
      </c>
      <c r="P319" t="s">
        <v>858</v>
      </c>
      <c r="R319" t="s">
        <v>85</v>
      </c>
      <c r="W319" t="s">
        <v>880</v>
      </c>
      <c r="X319" t="s">
        <v>837</v>
      </c>
      <c r="Y319">
        <v>2</v>
      </c>
      <c r="AA319" t="s">
        <v>867</v>
      </c>
      <c r="AB319" t="s">
        <v>53</v>
      </c>
      <c r="AC319">
        <v>34</v>
      </c>
    </row>
    <row r="320" spans="1:29" x14ac:dyDescent="0.2">
      <c r="A320" t="s">
        <v>1257</v>
      </c>
      <c r="B320" t="s">
        <v>1258</v>
      </c>
      <c r="C320">
        <v>34688662</v>
      </c>
      <c r="D320">
        <v>4388137</v>
      </c>
      <c r="E320">
        <v>12373</v>
      </c>
      <c r="F320" t="s">
        <v>1127</v>
      </c>
      <c r="G320">
        <v>2</v>
      </c>
      <c r="H320" s="3" t="s">
        <v>2067</v>
      </c>
      <c r="I320" s="3" t="s">
        <v>838</v>
      </c>
      <c r="K320" t="s">
        <v>1259</v>
      </c>
      <c r="L320" t="s">
        <v>176</v>
      </c>
      <c r="M320" t="s">
        <v>844</v>
      </c>
      <c r="P320" t="s">
        <v>858</v>
      </c>
      <c r="R320" t="s">
        <v>85</v>
      </c>
      <c r="W320" t="s">
        <v>856</v>
      </c>
      <c r="X320" t="s">
        <v>837</v>
      </c>
      <c r="AA320" t="s">
        <v>1031</v>
      </c>
      <c r="AB320" t="s">
        <v>53</v>
      </c>
      <c r="AC320">
        <v>34</v>
      </c>
    </row>
    <row r="321" spans="1:29" x14ac:dyDescent="0.2">
      <c r="A321" t="s">
        <v>1260</v>
      </c>
      <c r="B321" t="s">
        <v>1261</v>
      </c>
      <c r="C321">
        <v>16265337</v>
      </c>
      <c r="D321">
        <v>6293988</v>
      </c>
      <c r="E321">
        <v>4703</v>
      </c>
      <c r="F321" t="s">
        <v>1230</v>
      </c>
      <c r="G321">
        <v>3</v>
      </c>
      <c r="H321" s="3" t="s">
        <v>2067</v>
      </c>
      <c r="I321" s="3" t="s">
        <v>838</v>
      </c>
      <c r="K321" t="s">
        <v>1262</v>
      </c>
      <c r="L321" t="s">
        <v>176</v>
      </c>
      <c r="M321" t="s">
        <v>844</v>
      </c>
      <c r="P321" t="s">
        <v>858</v>
      </c>
      <c r="R321" t="s">
        <v>85</v>
      </c>
      <c r="W321" t="s">
        <v>35</v>
      </c>
      <c r="X321" t="s">
        <v>837</v>
      </c>
      <c r="Y321">
        <v>2</v>
      </c>
      <c r="AA321" t="s">
        <v>908</v>
      </c>
      <c r="AB321" t="s">
        <v>53</v>
      </c>
      <c r="AC321">
        <v>34</v>
      </c>
    </row>
    <row r="322" spans="1:29" x14ac:dyDescent="0.2">
      <c r="A322" t="s">
        <v>1263</v>
      </c>
      <c r="B322" t="s">
        <v>1264</v>
      </c>
      <c r="C322">
        <v>12298133</v>
      </c>
      <c r="D322">
        <v>10068211</v>
      </c>
      <c r="E322">
        <v>3556</v>
      </c>
      <c r="F322" t="s">
        <v>1077</v>
      </c>
      <c r="G322">
        <v>1</v>
      </c>
      <c r="H322" s="3" t="s">
        <v>2067</v>
      </c>
      <c r="I322" s="3" t="s">
        <v>2081</v>
      </c>
      <c r="K322" t="s">
        <v>1265</v>
      </c>
      <c r="L322" t="s">
        <v>176</v>
      </c>
      <c r="M322" t="s">
        <v>844</v>
      </c>
      <c r="P322" t="s">
        <v>1169</v>
      </c>
      <c r="R322" t="s">
        <v>85</v>
      </c>
      <c r="W322" t="s">
        <v>1034</v>
      </c>
      <c r="X322" t="s">
        <v>837</v>
      </c>
      <c r="Y322">
        <v>2</v>
      </c>
      <c r="AA322" t="s">
        <v>884</v>
      </c>
      <c r="AB322" t="s">
        <v>53</v>
      </c>
      <c r="AC322">
        <v>34</v>
      </c>
    </row>
    <row r="323" spans="1:29" x14ac:dyDescent="0.2">
      <c r="A323" t="s">
        <v>1266</v>
      </c>
      <c r="B323" t="s">
        <v>1267</v>
      </c>
      <c r="C323">
        <v>9627485</v>
      </c>
      <c r="D323">
        <v>8800899</v>
      </c>
      <c r="E323">
        <v>1630</v>
      </c>
      <c r="F323" t="s">
        <v>1127</v>
      </c>
      <c r="G323">
        <v>2</v>
      </c>
      <c r="H323" s="3" t="s">
        <v>2067</v>
      </c>
      <c r="I323" s="3" t="s">
        <v>2081</v>
      </c>
      <c r="K323" t="s">
        <v>1268</v>
      </c>
      <c r="L323" t="s">
        <v>176</v>
      </c>
      <c r="M323" t="s">
        <v>844</v>
      </c>
      <c r="P323" t="s">
        <v>1169</v>
      </c>
      <c r="R323" t="s">
        <v>85</v>
      </c>
      <c r="W323" t="s">
        <v>1034</v>
      </c>
      <c r="X323" t="s">
        <v>837</v>
      </c>
      <c r="AA323" t="s">
        <v>1041</v>
      </c>
      <c r="AB323" t="s">
        <v>53</v>
      </c>
      <c r="AC323">
        <v>34</v>
      </c>
    </row>
    <row r="324" spans="1:29" x14ac:dyDescent="0.2">
      <c r="A324" t="s">
        <v>1269</v>
      </c>
      <c r="B324" t="s">
        <v>1270</v>
      </c>
      <c r="C324">
        <v>8782713</v>
      </c>
      <c r="D324">
        <v>7932036</v>
      </c>
      <c r="E324">
        <v>1857</v>
      </c>
      <c r="F324" t="s">
        <v>1230</v>
      </c>
      <c r="G324">
        <v>3</v>
      </c>
      <c r="H324" s="3" t="s">
        <v>2067</v>
      </c>
      <c r="I324" s="3" t="s">
        <v>2081</v>
      </c>
      <c r="K324" t="s">
        <v>1271</v>
      </c>
      <c r="L324" t="s">
        <v>176</v>
      </c>
      <c r="M324" t="s">
        <v>844</v>
      </c>
      <c r="P324" t="s">
        <v>1169</v>
      </c>
      <c r="R324" t="s">
        <v>85</v>
      </c>
      <c r="W324" t="s">
        <v>1272</v>
      </c>
      <c r="X324" t="s">
        <v>837</v>
      </c>
      <c r="Y324">
        <v>2</v>
      </c>
      <c r="AA324" t="s">
        <v>1071</v>
      </c>
      <c r="AB324" t="s">
        <v>53</v>
      </c>
      <c r="AC324">
        <v>34</v>
      </c>
    </row>
    <row r="325" spans="1:29" x14ac:dyDescent="0.2">
      <c r="A325" t="s">
        <v>1273</v>
      </c>
      <c r="B325" t="s">
        <v>1274</v>
      </c>
      <c r="C325">
        <v>1811</v>
      </c>
      <c r="D325">
        <v>729</v>
      </c>
      <c r="E325">
        <v>0</v>
      </c>
      <c r="F325" t="s">
        <v>1077</v>
      </c>
      <c r="G325">
        <v>1</v>
      </c>
      <c r="H325" s="3" t="s">
        <v>2067</v>
      </c>
      <c r="I325" s="3" t="s">
        <v>2081</v>
      </c>
      <c r="K325" t="s">
        <v>1275</v>
      </c>
      <c r="L325" t="s">
        <v>176</v>
      </c>
      <c r="M325" t="s">
        <v>844</v>
      </c>
      <c r="P325" t="s">
        <v>858</v>
      </c>
      <c r="R325" t="s">
        <v>85</v>
      </c>
      <c r="W325" t="s">
        <v>848</v>
      </c>
      <c r="X325" t="s">
        <v>837</v>
      </c>
      <c r="Y325">
        <v>2</v>
      </c>
      <c r="AA325" t="s">
        <v>897</v>
      </c>
      <c r="AB325" t="s">
        <v>53</v>
      </c>
      <c r="AC325">
        <v>34</v>
      </c>
    </row>
    <row r="326" spans="1:29" x14ac:dyDescent="0.2">
      <c r="A326" t="s">
        <v>1276</v>
      </c>
      <c r="B326" t="s">
        <v>1277</v>
      </c>
      <c r="C326">
        <v>17535932</v>
      </c>
      <c r="D326">
        <v>9827460</v>
      </c>
      <c r="E326">
        <v>3820</v>
      </c>
      <c r="F326" t="s">
        <v>1127</v>
      </c>
      <c r="G326">
        <v>2</v>
      </c>
      <c r="H326" s="3" t="s">
        <v>2067</v>
      </c>
      <c r="I326" s="3" t="s">
        <v>2081</v>
      </c>
      <c r="K326" t="s">
        <v>1278</v>
      </c>
      <c r="L326" t="s">
        <v>176</v>
      </c>
      <c r="M326" t="s">
        <v>844</v>
      </c>
      <c r="P326" t="s">
        <v>858</v>
      </c>
      <c r="R326" t="s">
        <v>85</v>
      </c>
      <c r="W326" t="s">
        <v>955</v>
      </c>
      <c r="X326" t="s">
        <v>837</v>
      </c>
      <c r="AA326" t="s">
        <v>1050</v>
      </c>
      <c r="AB326" t="s">
        <v>53</v>
      </c>
      <c r="AC326">
        <v>34</v>
      </c>
    </row>
    <row r="327" spans="1:29" x14ac:dyDescent="0.2">
      <c r="A327" t="s">
        <v>1279</v>
      </c>
      <c r="B327" t="s">
        <v>1280</v>
      </c>
      <c r="C327">
        <v>935</v>
      </c>
      <c r="D327">
        <v>360</v>
      </c>
      <c r="E327">
        <v>1</v>
      </c>
      <c r="F327" t="s">
        <v>1230</v>
      </c>
      <c r="G327">
        <v>3</v>
      </c>
      <c r="H327" s="3" t="s">
        <v>2067</v>
      </c>
      <c r="I327" s="3" t="s">
        <v>2081</v>
      </c>
      <c r="K327" t="s">
        <v>1281</v>
      </c>
      <c r="L327" t="s">
        <v>176</v>
      </c>
      <c r="M327" t="s">
        <v>844</v>
      </c>
      <c r="P327" t="s">
        <v>858</v>
      </c>
      <c r="R327" t="s">
        <v>85</v>
      </c>
      <c r="W327" t="s">
        <v>848</v>
      </c>
      <c r="X327" t="s">
        <v>837</v>
      </c>
      <c r="Y327">
        <v>2</v>
      </c>
      <c r="AA327" t="s">
        <v>1082</v>
      </c>
      <c r="AB327" t="s">
        <v>53</v>
      </c>
      <c r="AC327">
        <v>34</v>
      </c>
    </row>
    <row r="328" spans="1:29" x14ac:dyDescent="0.2">
      <c r="A328" t="s">
        <v>1282</v>
      </c>
      <c r="B328" t="s">
        <v>1283</v>
      </c>
      <c r="C328">
        <v>14852139</v>
      </c>
      <c r="D328">
        <v>13543914</v>
      </c>
      <c r="E328">
        <v>3474</v>
      </c>
      <c r="F328" t="s">
        <v>1077</v>
      </c>
      <c r="G328">
        <v>1</v>
      </c>
      <c r="H328" s="3" t="s">
        <v>2067</v>
      </c>
      <c r="I328" s="3" t="s">
        <v>2082</v>
      </c>
      <c r="K328" t="s">
        <v>1284</v>
      </c>
      <c r="L328" t="s">
        <v>176</v>
      </c>
      <c r="M328" t="s">
        <v>844</v>
      </c>
      <c r="P328" t="s">
        <v>1169</v>
      </c>
      <c r="R328" t="s">
        <v>85</v>
      </c>
      <c r="W328" t="s">
        <v>955</v>
      </c>
      <c r="X328" t="s">
        <v>837</v>
      </c>
      <c r="Y328">
        <v>2</v>
      </c>
      <c r="AA328" t="s">
        <v>919</v>
      </c>
      <c r="AB328" t="s">
        <v>53</v>
      </c>
      <c r="AC328">
        <v>34</v>
      </c>
    </row>
    <row r="329" spans="1:29" x14ac:dyDescent="0.2">
      <c r="A329" t="s">
        <v>1285</v>
      </c>
      <c r="B329" t="s">
        <v>1286</v>
      </c>
      <c r="C329">
        <v>10849170</v>
      </c>
      <c r="D329">
        <v>9216896</v>
      </c>
      <c r="E329">
        <v>1223</v>
      </c>
      <c r="F329" t="s">
        <v>1127</v>
      </c>
      <c r="G329">
        <v>2</v>
      </c>
      <c r="H329" s="3" t="s">
        <v>2067</v>
      </c>
      <c r="I329" s="3" t="s">
        <v>2082</v>
      </c>
      <c r="K329" t="s">
        <v>1287</v>
      </c>
      <c r="L329" t="s">
        <v>176</v>
      </c>
      <c r="M329" t="s">
        <v>844</v>
      </c>
      <c r="P329" t="s">
        <v>1169</v>
      </c>
      <c r="R329" t="s">
        <v>85</v>
      </c>
      <c r="W329" t="s">
        <v>866</v>
      </c>
      <c r="X329" t="s">
        <v>837</v>
      </c>
      <c r="AA329" t="s">
        <v>1060</v>
      </c>
      <c r="AB329" t="s">
        <v>53</v>
      </c>
      <c r="AC329">
        <v>34</v>
      </c>
    </row>
    <row r="330" spans="1:29" x14ac:dyDescent="0.2">
      <c r="A330" t="s">
        <v>1288</v>
      </c>
      <c r="B330" t="s">
        <v>1289</v>
      </c>
      <c r="C330">
        <v>8919512</v>
      </c>
      <c r="D330">
        <v>8232243</v>
      </c>
      <c r="E330">
        <v>1315</v>
      </c>
      <c r="F330" t="s">
        <v>1230</v>
      </c>
      <c r="G330">
        <v>3</v>
      </c>
      <c r="H330" s="3" t="s">
        <v>2067</v>
      </c>
      <c r="I330" s="3" t="s">
        <v>2082</v>
      </c>
      <c r="K330" t="s">
        <v>1290</v>
      </c>
      <c r="L330" t="s">
        <v>176</v>
      </c>
      <c r="M330" t="s">
        <v>844</v>
      </c>
      <c r="P330" t="s">
        <v>1169</v>
      </c>
      <c r="R330" t="s">
        <v>85</v>
      </c>
      <c r="W330" t="s">
        <v>1237</v>
      </c>
      <c r="X330" t="s">
        <v>837</v>
      </c>
      <c r="Y330">
        <v>2</v>
      </c>
      <c r="AA330" t="s">
        <v>1112</v>
      </c>
      <c r="AB330" t="s">
        <v>53</v>
      </c>
      <c r="AC330">
        <v>34</v>
      </c>
    </row>
    <row r="331" spans="1:29" x14ac:dyDescent="0.2">
      <c r="A331" t="s">
        <v>1291</v>
      </c>
      <c r="B331" t="s">
        <v>1292</v>
      </c>
      <c r="C331">
        <v>7616989</v>
      </c>
      <c r="D331">
        <v>7004286</v>
      </c>
      <c r="E331">
        <v>2049</v>
      </c>
      <c r="F331" t="s">
        <v>1077</v>
      </c>
      <c r="G331">
        <v>1</v>
      </c>
      <c r="H331" s="3" t="s">
        <v>2067</v>
      </c>
      <c r="I331" s="3" t="s">
        <v>2082</v>
      </c>
      <c r="K331" t="s">
        <v>1293</v>
      </c>
      <c r="L331" t="s">
        <v>176</v>
      </c>
      <c r="M331" t="s">
        <v>844</v>
      </c>
      <c r="P331" t="s">
        <v>858</v>
      </c>
      <c r="R331" t="s">
        <v>85</v>
      </c>
      <c r="W331" t="s">
        <v>1034</v>
      </c>
      <c r="X331" t="s">
        <v>837</v>
      </c>
      <c r="Y331">
        <v>2</v>
      </c>
      <c r="AA331" t="s">
        <v>929</v>
      </c>
      <c r="AB331" t="s">
        <v>53</v>
      </c>
      <c r="AC331">
        <v>34</v>
      </c>
    </row>
    <row r="332" spans="1:29" x14ac:dyDescent="0.2">
      <c r="A332" t="s">
        <v>1294</v>
      </c>
      <c r="B332" t="s">
        <v>1295</v>
      </c>
      <c r="C332">
        <v>5137379</v>
      </c>
      <c r="D332">
        <v>4483531</v>
      </c>
      <c r="E332">
        <v>807</v>
      </c>
      <c r="F332" t="s">
        <v>1127</v>
      </c>
      <c r="G332">
        <v>2</v>
      </c>
      <c r="H332" s="3" t="s">
        <v>2067</v>
      </c>
      <c r="I332" s="3" t="s">
        <v>2082</v>
      </c>
      <c r="K332" t="s">
        <v>1296</v>
      </c>
      <c r="L332" t="s">
        <v>176</v>
      </c>
      <c r="M332" t="s">
        <v>844</v>
      </c>
      <c r="P332" t="s">
        <v>858</v>
      </c>
      <c r="R332" t="s">
        <v>85</v>
      </c>
      <c r="W332" t="s">
        <v>1034</v>
      </c>
      <c r="X332" t="s">
        <v>837</v>
      </c>
      <c r="AA332" t="s">
        <v>1064</v>
      </c>
      <c r="AB332" t="s">
        <v>53</v>
      </c>
      <c r="AC332">
        <v>34</v>
      </c>
    </row>
    <row r="333" spans="1:29" x14ac:dyDescent="0.2">
      <c r="A333" t="s">
        <v>1297</v>
      </c>
      <c r="B333" t="s">
        <v>1298</v>
      </c>
      <c r="C333">
        <v>15579483</v>
      </c>
      <c r="D333">
        <v>5031451</v>
      </c>
      <c r="E333">
        <v>4623</v>
      </c>
      <c r="F333" t="s">
        <v>1230</v>
      </c>
      <c r="G333">
        <v>3</v>
      </c>
      <c r="H333" s="3" t="s">
        <v>2067</v>
      </c>
      <c r="I333" s="3" t="s">
        <v>2082</v>
      </c>
      <c r="K333" t="s">
        <v>1299</v>
      </c>
      <c r="L333" t="s">
        <v>176</v>
      </c>
      <c r="M333" t="s">
        <v>844</v>
      </c>
      <c r="P333" t="s">
        <v>858</v>
      </c>
      <c r="R333" t="s">
        <v>85</v>
      </c>
      <c r="W333" t="s">
        <v>1237</v>
      </c>
      <c r="X333" t="s">
        <v>837</v>
      </c>
      <c r="Y333">
        <v>2</v>
      </c>
      <c r="AA333" t="s">
        <v>1102</v>
      </c>
      <c r="AB333" t="s">
        <v>53</v>
      </c>
      <c r="AC333">
        <v>34</v>
      </c>
    </row>
    <row r="334" spans="1:29" x14ac:dyDescent="0.2">
      <c r="A334" t="s">
        <v>1300</v>
      </c>
      <c r="B334" t="s">
        <v>1301</v>
      </c>
      <c r="C334">
        <v>7155330</v>
      </c>
      <c r="D334">
        <v>6020524</v>
      </c>
      <c r="E334">
        <v>2894</v>
      </c>
      <c r="F334" t="s">
        <v>1077</v>
      </c>
      <c r="G334">
        <v>1</v>
      </c>
      <c r="H334" s="3" t="s">
        <v>2068</v>
      </c>
      <c r="J334" s="3" t="s">
        <v>2084</v>
      </c>
      <c r="K334" t="s">
        <v>1302</v>
      </c>
      <c r="L334" t="s">
        <v>176</v>
      </c>
      <c r="M334" t="s">
        <v>844</v>
      </c>
      <c r="N334" t="s">
        <v>1168</v>
      </c>
      <c r="P334" t="s">
        <v>1169</v>
      </c>
      <c r="R334" t="s">
        <v>85</v>
      </c>
      <c r="W334" t="s">
        <v>848</v>
      </c>
      <c r="X334" t="s">
        <v>837</v>
      </c>
      <c r="AA334" t="s">
        <v>949</v>
      </c>
      <c r="AB334" t="s">
        <v>53</v>
      </c>
      <c r="AC334">
        <v>35</v>
      </c>
    </row>
    <row r="335" spans="1:29" x14ac:dyDescent="0.2">
      <c r="A335" t="s">
        <v>1303</v>
      </c>
      <c r="B335" t="s">
        <v>1304</v>
      </c>
      <c r="C335">
        <v>10271174</v>
      </c>
      <c r="D335">
        <v>9728836</v>
      </c>
      <c r="E335">
        <v>1361</v>
      </c>
      <c r="F335" t="s">
        <v>1127</v>
      </c>
      <c r="G335">
        <v>2</v>
      </c>
      <c r="H335" s="3" t="s">
        <v>2068</v>
      </c>
      <c r="J335" s="3" t="s">
        <v>2084</v>
      </c>
      <c r="K335" t="s">
        <v>1305</v>
      </c>
      <c r="L335" t="s">
        <v>176</v>
      </c>
      <c r="M335" t="s">
        <v>844</v>
      </c>
      <c r="N335" t="s">
        <v>1168</v>
      </c>
      <c r="P335" t="s">
        <v>1169</v>
      </c>
      <c r="R335" t="s">
        <v>85</v>
      </c>
      <c r="W335" t="s">
        <v>959</v>
      </c>
      <c r="X335" t="s">
        <v>837</v>
      </c>
      <c r="AA335" t="s">
        <v>940</v>
      </c>
      <c r="AB335" t="s">
        <v>53</v>
      </c>
      <c r="AC335">
        <v>35</v>
      </c>
    </row>
    <row r="336" spans="1:29" x14ac:dyDescent="0.2">
      <c r="A336" t="s">
        <v>1306</v>
      </c>
      <c r="B336" t="s">
        <v>1307</v>
      </c>
      <c r="C336">
        <v>6694889</v>
      </c>
      <c r="D336">
        <v>3533314</v>
      </c>
      <c r="E336">
        <v>1661</v>
      </c>
      <c r="F336" t="s">
        <v>1077</v>
      </c>
      <c r="G336">
        <v>1</v>
      </c>
      <c r="H336" s="3" t="s">
        <v>2067</v>
      </c>
      <c r="I336" s="3" t="s">
        <v>838</v>
      </c>
      <c r="K336" t="s">
        <v>1308</v>
      </c>
      <c r="L336" t="s">
        <v>176</v>
      </c>
      <c r="M336" t="s">
        <v>844</v>
      </c>
      <c r="P336" t="s">
        <v>858</v>
      </c>
      <c r="R336" t="s">
        <v>85</v>
      </c>
      <c r="W336" t="s">
        <v>848</v>
      </c>
      <c r="X336" t="s">
        <v>837</v>
      </c>
      <c r="AA336" t="s">
        <v>968</v>
      </c>
      <c r="AB336" t="s">
        <v>53</v>
      </c>
      <c r="AC336">
        <v>35</v>
      </c>
    </row>
    <row r="337" spans="1:29" x14ac:dyDescent="0.2">
      <c r="A337" t="s">
        <v>1309</v>
      </c>
      <c r="B337" t="s">
        <v>1310</v>
      </c>
      <c r="C337">
        <v>13199704</v>
      </c>
      <c r="D337">
        <v>5711444</v>
      </c>
      <c r="E337">
        <v>3652</v>
      </c>
      <c r="F337" t="s">
        <v>1127</v>
      </c>
      <c r="G337">
        <v>2</v>
      </c>
      <c r="H337" s="3" t="s">
        <v>2067</v>
      </c>
      <c r="I337" s="3" t="s">
        <v>838</v>
      </c>
      <c r="K337" t="s">
        <v>1311</v>
      </c>
      <c r="L337" t="s">
        <v>176</v>
      </c>
      <c r="M337" t="s">
        <v>844</v>
      </c>
      <c r="P337" t="s">
        <v>858</v>
      </c>
      <c r="R337" t="s">
        <v>85</v>
      </c>
      <c r="W337" t="s">
        <v>1312</v>
      </c>
      <c r="X337" t="s">
        <v>837</v>
      </c>
      <c r="AA337" t="s">
        <v>1035</v>
      </c>
      <c r="AB337" t="s">
        <v>53</v>
      </c>
      <c r="AC337">
        <v>35</v>
      </c>
    </row>
    <row r="338" spans="1:29" x14ac:dyDescent="0.2">
      <c r="A338" t="s">
        <v>1313</v>
      </c>
      <c r="B338" t="s">
        <v>1314</v>
      </c>
      <c r="C338">
        <v>24924733</v>
      </c>
      <c r="D338">
        <v>4182193</v>
      </c>
      <c r="E338">
        <v>8163</v>
      </c>
      <c r="F338" t="s">
        <v>1230</v>
      </c>
      <c r="G338">
        <v>3</v>
      </c>
      <c r="H338" s="3" t="s">
        <v>2067</v>
      </c>
      <c r="I338" s="3" t="s">
        <v>838</v>
      </c>
      <c r="K338" t="s">
        <v>1315</v>
      </c>
      <c r="L338" t="s">
        <v>176</v>
      </c>
      <c r="M338" t="s">
        <v>844</v>
      </c>
      <c r="P338" t="s">
        <v>858</v>
      </c>
      <c r="R338" t="s">
        <v>85</v>
      </c>
      <c r="W338" t="s">
        <v>977</v>
      </c>
      <c r="X338" t="s">
        <v>837</v>
      </c>
      <c r="Y338">
        <v>2</v>
      </c>
      <c r="AA338" t="s">
        <v>1128</v>
      </c>
      <c r="AB338" t="s">
        <v>53</v>
      </c>
      <c r="AC338">
        <v>35</v>
      </c>
    </row>
    <row r="339" spans="1:29" x14ac:dyDescent="0.2">
      <c r="A339" t="s">
        <v>1316</v>
      </c>
      <c r="B339" t="s">
        <v>1317</v>
      </c>
      <c r="C339">
        <v>22749398</v>
      </c>
      <c r="D339">
        <v>21177015</v>
      </c>
      <c r="E339">
        <v>2822</v>
      </c>
      <c r="F339" t="s">
        <v>1077</v>
      </c>
      <c r="G339">
        <v>1</v>
      </c>
      <c r="H339" s="3" t="s">
        <v>2067</v>
      </c>
      <c r="I339" s="3" t="s">
        <v>838</v>
      </c>
      <c r="K339" t="s">
        <v>1318</v>
      </c>
      <c r="L339" t="s">
        <v>176</v>
      </c>
      <c r="M339" t="s">
        <v>844</v>
      </c>
      <c r="P339" t="s">
        <v>1169</v>
      </c>
      <c r="R339" t="s">
        <v>85</v>
      </c>
      <c r="W339" t="s">
        <v>856</v>
      </c>
      <c r="X339" t="s">
        <v>837</v>
      </c>
      <c r="AA339" t="s">
        <v>978</v>
      </c>
      <c r="AB339" t="s">
        <v>53</v>
      </c>
      <c r="AC339">
        <v>35</v>
      </c>
    </row>
    <row r="340" spans="1:29" x14ac:dyDescent="0.2">
      <c r="A340" t="s">
        <v>1319</v>
      </c>
      <c r="B340" t="s">
        <v>1320</v>
      </c>
      <c r="C340">
        <v>27710148</v>
      </c>
      <c r="D340">
        <v>391962</v>
      </c>
      <c r="E340">
        <v>9334</v>
      </c>
      <c r="F340" t="s">
        <v>1127</v>
      </c>
      <c r="G340">
        <v>2</v>
      </c>
      <c r="H340" s="3" t="s">
        <v>2067</v>
      </c>
      <c r="I340" s="3" t="s">
        <v>838</v>
      </c>
      <c r="K340" t="s">
        <v>1321</v>
      </c>
      <c r="L340" t="s">
        <v>176</v>
      </c>
      <c r="M340" t="s">
        <v>844</v>
      </c>
      <c r="P340" t="s">
        <v>1169</v>
      </c>
      <c r="R340" t="s">
        <v>85</v>
      </c>
      <c r="W340" t="s">
        <v>866</v>
      </c>
      <c r="X340" t="s">
        <v>837</v>
      </c>
      <c r="AA340" t="s">
        <v>1044</v>
      </c>
      <c r="AB340" t="s">
        <v>53</v>
      </c>
      <c r="AC340">
        <v>35</v>
      </c>
    </row>
    <row r="341" spans="1:29" x14ac:dyDescent="0.2">
      <c r="A341" t="s">
        <v>1322</v>
      </c>
      <c r="B341" t="s">
        <v>1323</v>
      </c>
      <c r="C341">
        <v>14645938</v>
      </c>
      <c r="D341">
        <v>3138847</v>
      </c>
      <c r="E341">
        <v>5207</v>
      </c>
      <c r="F341" t="s">
        <v>1230</v>
      </c>
      <c r="G341">
        <v>3</v>
      </c>
      <c r="H341" s="3" t="s">
        <v>2067</v>
      </c>
      <c r="I341" s="3" t="s">
        <v>838</v>
      </c>
      <c r="K341" t="s">
        <v>1324</v>
      </c>
      <c r="L341" t="s">
        <v>176</v>
      </c>
      <c r="M341" t="s">
        <v>844</v>
      </c>
      <c r="P341" t="s">
        <v>1169</v>
      </c>
      <c r="R341" t="s">
        <v>85</v>
      </c>
      <c r="W341" t="s">
        <v>839</v>
      </c>
      <c r="X341" t="s">
        <v>837</v>
      </c>
      <c r="Y341">
        <v>2</v>
      </c>
      <c r="AA341" t="s">
        <v>1137</v>
      </c>
      <c r="AB341" t="s">
        <v>53</v>
      </c>
      <c r="AC341">
        <v>35</v>
      </c>
    </row>
    <row r="342" spans="1:29" x14ac:dyDescent="0.2">
      <c r="A342" t="s">
        <v>1325</v>
      </c>
      <c r="B342" t="s">
        <v>1326</v>
      </c>
      <c r="C342">
        <v>10721634</v>
      </c>
      <c r="D342">
        <v>9537524</v>
      </c>
      <c r="E342">
        <v>1054</v>
      </c>
      <c r="F342" t="s">
        <v>1077</v>
      </c>
      <c r="G342">
        <v>1</v>
      </c>
      <c r="H342" s="3" t="s">
        <v>2067</v>
      </c>
      <c r="I342" s="3" t="s">
        <v>2081</v>
      </c>
      <c r="K342" t="s">
        <v>1327</v>
      </c>
      <c r="L342" t="s">
        <v>176</v>
      </c>
      <c r="M342" t="s">
        <v>844</v>
      </c>
      <c r="P342" t="s">
        <v>858</v>
      </c>
      <c r="R342" t="s">
        <v>85</v>
      </c>
      <c r="W342" t="s">
        <v>839</v>
      </c>
      <c r="X342" t="s">
        <v>837</v>
      </c>
      <c r="AA342" t="s">
        <v>993</v>
      </c>
      <c r="AB342" t="s">
        <v>53</v>
      </c>
      <c r="AC342">
        <v>35</v>
      </c>
    </row>
    <row r="343" spans="1:29" x14ac:dyDescent="0.2">
      <c r="A343" t="s">
        <v>1328</v>
      </c>
      <c r="B343" t="s">
        <v>1329</v>
      </c>
      <c r="C343">
        <v>22034055</v>
      </c>
      <c r="D343">
        <v>1272163</v>
      </c>
      <c r="E343">
        <v>7379</v>
      </c>
      <c r="F343" t="s">
        <v>1127</v>
      </c>
      <c r="G343">
        <v>2</v>
      </c>
      <c r="H343" s="3" t="s">
        <v>2067</v>
      </c>
      <c r="I343" s="3" t="s">
        <v>2081</v>
      </c>
      <c r="K343" t="s">
        <v>1330</v>
      </c>
      <c r="L343" t="s">
        <v>176</v>
      </c>
      <c r="M343" t="s">
        <v>844</v>
      </c>
      <c r="P343" t="s">
        <v>858</v>
      </c>
      <c r="R343" t="s">
        <v>85</v>
      </c>
      <c r="W343" t="s">
        <v>887</v>
      </c>
      <c r="X343" t="s">
        <v>837</v>
      </c>
      <c r="AA343" t="s">
        <v>1054</v>
      </c>
      <c r="AB343" t="s">
        <v>53</v>
      </c>
      <c r="AC343">
        <v>35</v>
      </c>
    </row>
    <row r="344" spans="1:29" x14ac:dyDescent="0.2">
      <c r="A344" t="s">
        <v>1331</v>
      </c>
      <c r="B344" t="s">
        <v>1332</v>
      </c>
      <c r="C344">
        <v>12831372</v>
      </c>
      <c r="D344">
        <v>11934339</v>
      </c>
      <c r="E344">
        <v>1998</v>
      </c>
      <c r="F344" t="s">
        <v>1230</v>
      </c>
      <c r="G344">
        <v>3</v>
      </c>
      <c r="H344" s="3" t="s">
        <v>2067</v>
      </c>
      <c r="I344" s="3" t="s">
        <v>2081</v>
      </c>
      <c r="K344" t="s">
        <v>1333</v>
      </c>
      <c r="L344" t="s">
        <v>176</v>
      </c>
      <c r="M344" t="s">
        <v>844</v>
      </c>
      <c r="P344" t="s">
        <v>858</v>
      </c>
      <c r="R344" t="s">
        <v>85</v>
      </c>
      <c r="W344" t="s">
        <v>839</v>
      </c>
      <c r="X344" t="s">
        <v>837</v>
      </c>
      <c r="Y344">
        <v>2</v>
      </c>
      <c r="AA344" t="s">
        <v>1164</v>
      </c>
      <c r="AB344" t="s">
        <v>53</v>
      </c>
      <c r="AC344">
        <v>35</v>
      </c>
    </row>
    <row r="345" spans="1:29" x14ac:dyDescent="0.2">
      <c r="A345" t="s">
        <v>1334</v>
      </c>
      <c r="B345" t="s">
        <v>1335</v>
      </c>
      <c r="C345">
        <v>19613812</v>
      </c>
      <c r="D345">
        <v>6124360</v>
      </c>
      <c r="E345">
        <v>6353</v>
      </c>
      <c r="F345" t="s">
        <v>1077</v>
      </c>
      <c r="G345">
        <v>1</v>
      </c>
      <c r="H345" s="3" t="s">
        <v>2067</v>
      </c>
      <c r="I345" s="3" t="s">
        <v>2081</v>
      </c>
      <c r="K345" t="s">
        <v>1336</v>
      </c>
      <c r="L345" t="s">
        <v>176</v>
      </c>
      <c r="M345" t="s">
        <v>844</v>
      </c>
      <c r="P345" t="s">
        <v>1169</v>
      </c>
      <c r="R345" t="s">
        <v>85</v>
      </c>
      <c r="W345" t="s">
        <v>848</v>
      </c>
      <c r="X345" t="s">
        <v>837</v>
      </c>
      <c r="AA345" t="s">
        <v>1003</v>
      </c>
      <c r="AB345" t="s">
        <v>53</v>
      </c>
      <c r="AC345">
        <v>35</v>
      </c>
    </row>
    <row r="346" spans="1:29" x14ac:dyDescent="0.2">
      <c r="A346" t="s">
        <v>1337</v>
      </c>
      <c r="B346" t="s">
        <v>1338</v>
      </c>
      <c r="C346">
        <v>13981448</v>
      </c>
      <c r="D346">
        <v>11431430</v>
      </c>
      <c r="E346">
        <v>3232</v>
      </c>
      <c r="F346" t="s">
        <v>1127</v>
      </c>
      <c r="G346">
        <v>2</v>
      </c>
      <c r="H346" s="3" t="s">
        <v>2067</v>
      </c>
      <c r="I346" s="3" t="s">
        <v>2081</v>
      </c>
      <c r="K346" t="s">
        <v>1339</v>
      </c>
      <c r="L346" t="s">
        <v>176</v>
      </c>
      <c r="M346" t="s">
        <v>844</v>
      </c>
      <c r="P346" t="s">
        <v>1169</v>
      </c>
      <c r="R346" t="s">
        <v>85</v>
      </c>
      <c r="W346" t="s">
        <v>866</v>
      </c>
      <c r="X346" t="s">
        <v>837</v>
      </c>
      <c r="AA346" t="s">
        <v>1009</v>
      </c>
      <c r="AB346" t="s">
        <v>53</v>
      </c>
      <c r="AC346">
        <v>35</v>
      </c>
    </row>
    <row r="347" spans="1:29" x14ac:dyDescent="0.2">
      <c r="A347" t="s">
        <v>1340</v>
      </c>
      <c r="B347" t="s">
        <v>1341</v>
      </c>
      <c r="C347">
        <v>14198200</v>
      </c>
      <c r="D347">
        <v>4462557</v>
      </c>
      <c r="E347">
        <v>3991</v>
      </c>
      <c r="F347" t="s">
        <v>1230</v>
      </c>
      <c r="G347">
        <v>3</v>
      </c>
      <c r="H347" s="3" t="s">
        <v>2067</v>
      </c>
      <c r="I347" s="3" t="s">
        <v>2081</v>
      </c>
      <c r="K347" t="s">
        <v>1342</v>
      </c>
      <c r="L347" t="s">
        <v>176</v>
      </c>
      <c r="M347" t="s">
        <v>844</v>
      </c>
      <c r="P347" t="s">
        <v>1169</v>
      </c>
      <c r="R347" t="s">
        <v>85</v>
      </c>
      <c r="W347" t="s">
        <v>996</v>
      </c>
      <c r="X347" t="s">
        <v>837</v>
      </c>
      <c r="Y347">
        <v>2</v>
      </c>
      <c r="AA347" t="s">
        <v>1155</v>
      </c>
      <c r="AB347" t="s">
        <v>53</v>
      </c>
      <c r="AC347">
        <v>35</v>
      </c>
    </row>
    <row r="348" spans="1:29" x14ac:dyDescent="0.2">
      <c r="A348" t="s">
        <v>1343</v>
      </c>
      <c r="B348" t="s">
        <v>1344</v>
      </c>
      <c r="C348">
        <v>855983</v>
      </c>
      <c r="D348">
        <v>450493</v>
      </c>
      <c r="E348">
        <v>331</v>
      </c>
      <c r="F348" t="s">
        <v>1077</v>
      </c>
      <c r="G348">
        <v>1</v>
      </c>
      <c r="H348" s="3" t="s">
        <v>2067</v>
      </c>
      <c r="I348" s="3" t="s">
        <v>2082</v>
      </c>
      <c r="K348" t="s">
        <v>1345</v>
      </c>
      <c r="L348" t="s">
        <v>176</v>
      </c>
      <c r="M348" t="s">
        <v>844</v>
      </c>
      <c r="P348" t="s">
        <v>858</v>
      </c>
      <c r="R348" t="s">
        <v>85</v>
      </c>
      <c r="W348" t="s">
        <v>888</v>
      </c>
      <c r="X348" t="s">
        <v>837</v>
      </c>
      <c r="AA348" t="s">
        <v>1019</v>
      </c>
      <c r="AB348" t="s">
        <v>53</v>
      </c>
      <c r="AC348">
        <v>35</v>
      </c>
    </row>
    <row r="349" spans="1:29" x14ac:dyDescent="0.2">
      <c r="A349" t="s">
        <v>1346</v>
      </c>
      <c r="B349" t="s">
        <v>1347</v>
      </c>
      <c r="C349">
        <v>22309400</v>
      </c>
      <c r="D349">
        <v>635815</v>
      </c>
      <c r="E349">
        <v>7322</v>
      </c>
      <c r="F349" t="s">
        <v>1127</v>
      </c>
      <c r="G349">
        <v>2</v>
      </c>
      <c r="H349" s="3" t="s">
        <v>2067</v>
      </c>
      <c r="I349" s="3" t="s">
        <v>2082</v>
      </c>
      <c r="K349" t="s">
        <v>1348</v>
      </c>
      <c r="L349" t="s">
        <v>176</v>
      </c>
      <c r="M349" t="s">
        <v>844</v>
      </c>
      <c r="P349" t="s">
        <v>858</v>
      </c>
      <c r="R349" t="s">
        <v>85</v>
      </c>
      <c r="W349" t="s">
        <v>888</v>
      </c>
      <c r="X349" t="s">
        <v>837</v>
      </c>
      <c r="AA349" t="s">
        <v>956</v>
      </c>
      <c r="AB349" t="s">
        <v>53</v>
      </c>
      <c r="AC349">
        <v>35</v>
      </c>
    </row>
    <row r="350" spans="1:29" x14ac:dyDescent="0.2">
      <c r="A350" t="s">
        <v>1349</v>
      </c>
      <c r="B350" t="s">
        <v>1350</v>
      </c>
      <c r="C350">
        <v>5314754</v>
      </c>
      <c r="D350">
        <v>2779158</v>
      </c>
      <c r="E350">
        <v>2385</v>
      </c>
      <c r="F350" t="s">
        <v>1230</v>
      </c>
      <c r="G350">
        <v>3</v>
      </c>
      <c r="H350" s="3" t="s">
        <v>2067</v>
      </c>
      <c r="I350" s="3" t="s">
        <v>2082</v>
      </c>
      <c r="K350" t="s">
        <v>1351</v>
      </c>
      <c r="L350" t="s">
        <v>176</v>
      </c>
      <c r="M350" t="s">
        <v>844</v>
      </c>
      <c r="P350" t="s">
        <v>858</v>
      </c>
      <c r="R350" t="s">
        <v>85</v>
      </c>
      <c r="W350" t="s">
        <v>1111</v>
      </c>
      <c r="X350" t="s">
        <v>837</v>
      </c>
      <c r="Y350">
        <v>2</v>
      </c>
      <c r="AA350" t="s">
        <v>1146</v>
      </c>
      <c r="AB350" t="s">
        <v>53</v>
      </c>
      <c r="AC350">
        <v>35</v>
      </c>
    </row>
    <row r="351" spans="1:29" x14ac:dyDescent="0.2">
      <c r="A351" t="s">
        <v>1352</v>
      </c>
      <c r="B351" t="s">
        <v>1353</v>
      </c>
      <c r="C351">
        <v>14164452</v>
      </c>
      <c r="D351">
        <v>5332781</v>
      </c>
      <c r="E351">
        <v>4058</v>
      </c>
      <c r="F351" t="s">
        <v>1077</v>
      </c>
      <c r="G351">
        <v>1</v>
      </c>
      <c r="H351" s="3" t="s">
        <v>2067</v>
      </c>
      <c r="I351" s="3" t="s">
        <v>2082</v>
      </c>
      <c r="K351" t="s">
        <v>1354</v>
      </c>
      <c r="L351" t="s">
        <v>176</v>
      </c>
      <c r="M351" t="s">
        <v>844</v>
      </c>
      <c r="P351" t="s">
        <v>1169</v>
      </c>
      <c r="R351" t="s">
        <v>85</v>
      </c>
      <c r="W351" t="s">
        <v>964</v>
      </c>
      <c r="X351" t="s">
        <v>837</v>
      </c>
      <c r="AA351" t="s">
        <v>1025</v>
      </c>
      <c r="AB351" t="s">
        <v>53</v>
      </c>
      <c r="AC351">
        <v>35</v>
      </c>
    </row>
    <row r="352" spans="1:29" x14ac:dyDescent="0.2">
      <c r="A352" t="s">
        <v>1355</v>
      </c>
      <c r="B352" t="s">
        <v>1356</v>
      </c>
      <c r="C352">
        <v>26126801</v>
      </c>
      <c r="D352">
        <v>607883</v>
      </c>
      <c r="E352">
        <v>8488</v>
      </c>
      <c r="F352" t="s">
        <v>1127</v>
      </c>
      <c r="G352">
        <v>2</v>
      </c>
      <c r="H352" s="3" t="s">
        <v>2067</v>
      </c>
      <c r="I352" s="3" t="s">
        <v>2082</v>
      </c>
      <c r="K352" t="s">
        <v>1357</v>
      </c>
      <c r="L352" t="s">
        <v>176</v>
      </c>
      <c r="M352" t="s">
        <v>844</v>
      </c>
      <c r="P352" t="s">
        <v>1169</v>
      </c>
      <c r="R352" t="s">
        <v>85</v>
      </c>
      <c r="W352" t="s">
        <v>888</v>
      </c>
      <c r="X352" t="s">
        <v>837</v>
      </c>
      <c r="AA352" t="s">
        <v>984</v>
      </c>
      <c r="AB352" t="s">
        <v>53</v>
      </c>
      <c r="AC352">
        <v>35</v>
      </c>
    </row>
    <row r="353" spans="1:29" x14ac:dyDescent="0.2">
      <c r="A353" t="s">
        <v>1358</v>
      </c>
      <c r="B353" t="s">
        <v>1359</v>
      </c>
      <c r="C353">
        <v>20726957</v>
      </c>
      <c r="D353">
        <v>4945561</v>
      </c>
      <c r="E353">
        <v>6224</v>
      </c>
      <c r="F353" t="s">
        <v>1230</v>
      </c>
      <c r="G353">
        <v>3</v>
      </c>
      <c r="H353" s="3" t="s">
        <v>2067</v>
      </c>
      <c r="I353" s="3" t="s">
        <v>2082</v>
      </c>
      <c r="K353" t="s">
        <v>1360</v>
      </c>
      <c r="L353" t="s">
        <v>176</v>
      </c>
      <c r="M353" t="s">
        <v>844</v>
      </c>
      <c r="P353" t="s">
        <v>1169</v>
      </c>
      <c r="R353" t="s">
        <v>85</v>
      </c>
      <c r="W353" t="s">
        <v>839</v>
      </c>
      <c r="X353" t="s">
        <v>837</v>
      </c>
      <c r="Y353">
        <v>2</v>
      </c>
      <c r="AA353" t="s">
        <v>1140</v>
      </c>
      <c r="AB353" t="s">
        <v>53</v>
      </c>
      <c r="AC353">
        <v>35</v>
      </c>
    </row>
    <row r="354" spans="1:29" x14ac:dyDescent="0.2">
      <c r="A354" t="s">
        <v>1361</v>
      </c>
      <c r="B354" t="s">
        <v>1362</v>
      </c>
      <c r="C354">
        <v>7145672</v>
      </c>
      <c r="D354">
        <v>5886326</v>
      </c>
      <c r="E354">
        <v>1027</v>
      </c>
      <c r="F354" t="s">
        <v>1230</v>
      </c>
      <c r="G354">
        <v>2</v>
      </c>
      <c r="H354" s="3" t="s">
        <v>2068</v>
      </c>
      <c r="J354" s="3" t="s">
        <v>2084</v>
      </c>
      <c r="K354" t="s">
        <v>1363</v>
      </c>
      <c r="L354" t="s">
        <v>176</v>
      </c>
      <c r="M354" t="s">
        <v>844</v>
      </c>
      <c r="N354" t="s">
        <v>1168</v>
      </c>
      <c r="P354" t="s">
        <v>1169</v>
      </c>
      <c r="R354" t="s">
        <v>85</v>
      </c>
      <c r="W354" t="s">
        <v>848</v>
      </c>
      <c r="X354" t="s">
        <v>837</v>
      </c>
      <c r="AA354" t="s">
        <v>1158</v>
      </c>
      <c r="AB354" t="s">
        <v>53</v>
      </c>
      <c r="AC354">
        <v>36</v>
      </c>
    </row>
    <row r="355" spans="1:29" x14ac:dyDescent="0.2">
      <c r="A355" t="s">
        <v>1364</v>
      </c>
      <c r="B355" t="s">
        <v>1365</v>
      </c>
      <c r="C355">
        <v>3974389</v>
      </c>
      <c r="D355">
        <v>473438</v>
      </c>
      <c r="E355">
        <v>3467</v>
      </c>
      <c r="F355" t="s">
        <v>1367</v>
      </c>
      <c r="G355">
        <v>3</v>
      </c>
      <c r="H355" s="3" t="s">
        <v>2068</v>
      </c>
      <c r="J355" s="3" t="s">
        <v>2084</v>
      </c>
      <c r="K355" t="s">
        <v>1366</v>
      </c>
      <c r="L355" t="s">
        <v>176</v>
      </c>
      <c r="M355" t="s">
        <v>844</v>
      </c>
      <c r="N355" t="s">
        <v>1168</v>
      </c>
      <c r="P355" t="s">
        <v>1169</v>
      </c>
      <c r="R355" t="s">
        <v>85</v>
      </c>
      <c r="W355" t="s">
        <v>907</v>
      </c>
      <c r="X355" t="s">
        <v>837</v>
      </c>
      <c r="AA355" t="s">
        <v>1096</v>
      </c>
      <c r="AB355" t="s">
        <v>53</v>
      </c>
      <c r="AC355">
        <v>36</v>
      </c>
    </row>
    <row r="356" spans="1:29" x14ac:dyDescent="0.2">
      <c r="A356" t="s">
        <v>1368</v>
      </c>
      <c r="B356" t="s">
        <v>1369</v>
      </c>
      <c r="C356">
        <v>17218820</v>
      </c>
      <c r="D356">
        <v>7531110</v>
      </c>
      <c r="E356">
        <v>4760</v>
      </c>
      <c r="F356" t="s">
        <v>1127</v>
      </c>
      <c r="G356">
        <v>1</v>
      </c>
      <c r="H356" s="3" t="s">
        <v>2067</v>
      </c>
      <c r="I356" s="3" t="s">
        <v>838</v>
      </c>
      <c r="K356" t="s">
        <v>1370</v>
      </c>
      <c r="L356" t="s">
        <v>176</v>
      </c>
      <c r="M356" t="s">
        <v>844</v>
      </c>
      <c r="P356" t="s">
        <v>1169</v>
      </c>
      <c r="R356" t="s">
        <v>85</v>
      </c>
      <c r="W356" t="s">
        <v>866</v>
      </c>
      <c r="X356" t="s">
        <v>837</v>
      </c>
      <c r="Y356">
        <v>2</v>
      </c>
      <c r="AA356" t="s">
        <v>1006</v>
      </c>
      <c r="AB356" t="s">
        <v>53</v>
      </c>
      <c r="AC356">
        <v>36</v>
      </c>
    </row>
    <row r="357" spans="1:29" x14ac:dyDescent="0.2">
      <c r="A357" t="s">
        <v>1371</v>
      </c>
      <c r="B357" t="s">
        <v>1372</v>
      </c>
      <c r="C357">
        <v>37463844</v>
      </c>
      <c r="D357">
        <v>578014</v>
      </c>
      <c r="E357">
        <v>11832</v>
      </c>
      <c r="F357" t="s">
        <v>1230</v>
      </c>
      <c r="G357">
        <v>2</v>
      </c>
      <c r="H357" s="3" t="s">
        <v>2067</v>
      </c>
      <c r="I357" s="3" t="s">
        <v>838</v>
      </c>
      <c r="K357" t="s">
        <v>1373</v>
      </c>
      <c r="L357" t="s">
        <v>176</v>
      </c>
      <c r="M357" t="s">
        <v>844</v>
      </c>
      <c r="P357" t="s">
        <v>1169</v>
      </c>
      <c r="R357" t="s">
        <v>85</v>
      </c>
      <c r="W357" t="s">
        <v>964</v>
      </c>
      <c r="X357" t="s">
        <v>837</v>
      </c>
      <c r="AA357" t="s">
        <v>1012</v>
      </c>
      <c r="AB357" t="s">
        <v>53</v>
      </c>
      <c r="AC357">
        <v>36</v>
      </c>
    </row>
    <row r="358" spans="1:29" x14ac:dyDescent="0.2">
      <c r="A358" t="s">
        <v>1374</v>
      </c>
      <c r="B358" t="s">
        <v>1375</v>
      </c>
      <c r="C358">
        <v>7030579</v>
      </c>
      <c r="D358">
        <v>6148086</v>
      </c>
      <c r="E358">
        <v>1544</v>
      </c>
      <c r="F358" t="s">
        <v>1367</v>
      </c>
      <c r="G358">
        <v>3</v>
      </c>
      <c r="H358" s="3" t="s">
        <v>2067</v>
      </c>
      <c r="I358" s="3" t="s">
        <v>838</v>
      </c>
      <c r="K358" t="s">
        <v>1376</v>
      </c>
      <c r="L358" t="s">
        <v>176</v>
      </c>
      <c r="M358" t="s">
        <v>844</v>
      </c>
      <c r="P358" t="s">
        <v>1169</v>
      </c>
      <c r="R358" t="s">
        <v>85</v>
      </c>
      <c r="W358" t="s">
        <v>848</v>
      </c>
      <c r="X358" t="s">
        <v>837</v>
      </c>
      <c r="AA358" t="s">
        <v>1105</v>
      </c>
      <c r="AB358" t="s">
        <v>53</v>
      </c>
      <c r="AC358">
        <v>36</v>
      </c>
    </row>
    <row r="359" spans="1:29" x14ac:dyDescent="0.2">
      <c r="A359" t="s">
        <v>1377</v>
      </c>
      <c r="B359" t="s">
        <v>1378</v>
      </c>
      <c r="C359">
        <v>24241895</v>
      </c>
      <c r="D359">
        <v>2127744</v>
      </c>
      <c r="E359">
        <v>8642</v>
      </c>
      <c r="F359" t="s">
        <v>1127</v>
      </c>
      <c r="G359">
        <v>1</v>
      </c>
      <c r="H359" s="3" t="s">
        <v>2067</v>
      </c>
      <c r="I359" s="3" t="s">
        <v>838</v>
      </c>
      <c r="K359" t="s">
        <v>1379</v>
      </c>
      <c r="L359" t="s">
        <v>176</v>
      </c>
      <c r="M359" t="s">
        <v>844</v>
      </c>
      <c r="P359" t="s">
        <v>858</v>
      </c>
      <c r="R359" t="s">
        <v>85</v>
      </c>
      <c r="W359" t="s">
        <v>896</v>
      </c>
      <c r="X359" t="s">
        <v>837</v>
      </c>
      <c r="Y359">
        <v>2</v>
      </c>
      <c r="AA359" t="s">
        <v>971</v>
      </c>
      <c r="AB359" t="s">
        <v>53</v>
      </c>
      <c r="AC359">
        <v>36</v>
      </c>
    </row>
    <row r="360" spans="1:29" x14ac:dyDescent="0.2">
      <c r="A360" t="s">
        <v>1380</v>
      </c>
      <c r="B360" t="s">
        <v>1381</v>
      </c>
      <c r="C360">
        <v>10022764</v>
      </c>
      <c r="D360">
        <v>9358731</v>
      </c>
      <c r="E360">
        <v>1775</v>
      </c>
      <c r="F360" t="s">
        <v>1230</v>
      </c>
      <c r="G360">
        <v>2</v>
      </c>
      <c r="H360" s="3" t="s">
        <v>2067</v>
      </c>
      <c r="I360" s="3" t="s">
        <v>838</v>
      </c>
      <c r="K360" t="s">
        <v>1382</v>
      </c>
      <c r="L360" t="s">
        <v>176</v>
      </c>
      <c r="M360" t="s">
        <v>844</v>
      </c>
      <c r="P360" t="s">
        <v>858</v>
      </c>
      <c r="R360" t="s">
        <v>85</v>
      </c>
      <c r="W360" t="s">
        <v>996</v>
      </c>
      <c r="X360" t="s">
        <v>837</v>
      </c>
      <c r="AA360" t="s">
        <v>1038</v>
      </c>
      <c r="AB360" t="s">
        <v>53</v>
      </c>
      <c r="AC360">
        <v>36</v>
      </c>
    </row>
    <row r="361" spans="1:29" x14ac:dyDescent="0.2">
      <c r="A361" t="s">
        <v>1383</v>
      </c>
      <c r="B361" t="s">
        <v>1384</v>
      </c>
      <c r="C361">
        <v>31982236</v>
      </c>
      <c r="D361">
        <v>1774141</v>
      </c>
      <c r="E361">
        <v>10987</v>
      </c>
      <c r="F361" t="s">
        <v>1367</v>
      </c>
      <c r="G361">
        <v>3</v>
      </c>
      <c r="H361" s="3" t="s">
        <v>2067</v>
      </c>
      <c r="I361" s="3" t="s">
        <v>838</v>
      </c>
      <c r="K361" t="s">
        <v>1385</v>
      </c>
      <c r="L361" t="s">
        <v>176</v>
      </c>
      <c r="M361" t="s">
        <v>844</v>
      </c>
      <c r="P361" t="s">
        <v>858</v>
      </c>
      <c r="R361" t="s">
        <v>85</v>
      </c>
      <c r="W361" t="s">
        <v>862</v>
      </c>
      <c r="X361" t="s">
        <v>837</v>
      </c>
      <c r="AA361" t="s">
        <v>1074</v>
      </c>
      <c r="AB361" t="s">
        <v>53</v>
      </c>
      <c r="AC361">
        <v>36</v>
      </c>
    </row>
    <row r="362" spans="1:29" x14ac:dyDescent="0.2">
      <c r="A362" t="s">
        <v>1386</v>
      </c>
      <c r="B362" t="s">
        <v>1387</v>
      </c>
      <c r="C362">
        <v>17833094</v>
      </c>
      <c r="D362">
        <v>4764876</v>
      </c>
      <c r="E362">
        <v>5927</v>
      </c>
      <c r="F362" t="s">
        <v>1127</v>
      </c>
      <c r="G362">
        <v>1</v>
      </c>
      <c r="H362" s="3" t="s">
        <v>2067</v>
      </c>
      <c r="I362" s="3" t="s">
        <v>2081</v>
      </c>
      <c r="K362" t="s">
        <v>1388</v>
      </c>
      <c r="L362" t="s">
        <v>176</v>
      </c>
      <c r="M362" t="s">
        <v>844</v>
      </c>
      <c r="P362" t="s">
        <v>1169</v>
      </c>
      <c r="R362" t="s">
        <v>85</v>
      </c>
      <c r="W362" t="s">
        <v>964</v>
      </c>
      <c r="X362" t="s">
        <v>837</v>
      </c>
      <c r="Y362">
        <v>2</v>
      </c>
      <c r="AA362" t="s">
        <v>1028</v>
      </c>
      <c r="AB362" t="s">
        <v>53</v>
      </c>
      <c r="AC362">
        <v>36</v>
      </c>
    </row>
    <row r="363" spans="1:29" x14ac:dyDescent="0.2">
      <c r="A363" t="s">
        <v>1389</v>
      </c>
      <c r="B363" t="s">
        <v>1390</v>
      </c>
      <c r="C363">
        <v>15845195</v>
      </c>
      <c r="D363">
        <v>8552606</v>
      </c>
      <c r="E363">
        <v>3513</v>
      </c>
      <c r="F363" t="s">
        <v>1230</v>
      </c>
      <c r="G363">
        <v>2</v>
      </c>
      <c r="H363" s="3" t="s">
        <v>2067</v>
      </c>
      <c r="I363" s="3" t="s">
        <v>2081</v>
      </c>
      <c r="K363" t="s">
        <v>1391</v>
      </c>
      <c r="L363" t="s">
        <v>176</v>
      </c>
      <c r="M363" t="s">
        <v>844</v>
      </c>
      <c r="P363" t="s">
        <v>1169</v>
      </c>
      <c r="R363" t="s">
        <v>85</v>
      </c>
      <c r="W363" t="s">
        <v>959</v>
      </c>
      <c r="X363" t="s">
        <v>837</v>
      </c>
      <c r="AA363" t="s">
        <v>987</v>
      </c>
      <c r="AB363" t="s">
        <v>53</v>
      </c>
      <c r="AC363">
        <v>36</v>
      </c>
    </row>
    <row r="364" spans="1:29" x14ac:dyDescent="0.2">
      <c r="A364" t="s">
        <v>1392</v>
      </c>
      <c r="B364" t="s">
        <v>1393</v>
      </c>
      <c r="C364">
        <v>17149199</v>
      </c>
      <c r="D364">
        <v>5889410</v>
      </c>
      <c r="E364">
        <v>4948</v>
      </c>
      <c r="F364" t="s">
        <v>1367</v>
      </c>
      <c r="G364">
        <v>3</v>
      </c>
      <c r="H364" s="3" t="s">
        <v>2067</v>
      </c>
      <c r="I364" s="3" t="s">
        <v>2081</v>
      </c>
      <c r="K364" t="s">
        <v>1394</v>
      </c>
      <c r="L364" t="s">
        <v>176</v>
      </c>
      <c r="M364" t="s">
        <v>844</v>
      </c>
      <c r="P364" t="s">
        <v>1169</v>
      </c>
      <c r="R364" t="s">
        <v>85</v>
      </c>
      <c r="W364" t="s">
        <v>862</v>
      </c>
      <c r="X364" t="s">
        <v>837</v>
      </c>
      <c r="AA364" t="s">
        <v>1131</v>
      </c>
      <c r="AB364" t="s">
        <v>53</v>
      </c>
      <c r="AC364">
        <v>36</v>
      </c>
    </row>
    <row r="365" spans="1:29" x14ac:dyDescent="0.2">
      <c r="A365" t="s">
        <v>1395</v>
      </c>
      <c r="B365" t="s">
        <v>1396</v>
      </c>
      <c r="C365">
        <v>25000138</v>
      </c>
      <c r="D365">
        <v>2238208</v>
      </c>
      <c r="E365">
        <v>8979</v>
      </c>
      <c r="F365" t="s">
        <v>1127</v>
      </c>
      <c r="G365">
        <v>1</v>
      </c>
      <c r="H365" s="3" t="s">
        <v>2067</v>
      </c>
      <c r="I365" s="3" t="s">
        <v>2081</v>
      </c>
      <c r="K365" t="s">
        <v>1397</v>
      </c>
      <c r="L365" t="s">
        <v>176</v>
      </c>
      <c r="M365" t="s">
        <v>844</v>
      </c>
      <c r="P365" t="s">
        <v>858</v>
      </c>
      <c r="R365" t="s">
        <v>85</v>
      </c>
      <c r="W365" t="s">
        <v>839</v>
      </c>
      <c r="X365" t="s">
        <v>837</v>
      </c>
      <c r="Y365">
        <v>2</v>
      </c>
      <c r="AA365" t="s">
        <v>997</v>
      </c>
      <c r="AB365" t="s">
        <v>53</v>
      </c>
      <c r="AC365">
        <v>36</v>
      </c>
    </row>
    <row r="366" spans="1:29" x14ac:dyDescent="0.2">
      <c r="A366" t="s">
        <v>1398</v>
      </c>
      <c r="B366" t="s">
        <v>1399</v>
      </c>
      <c r="C366">
        <v>16671705</v>
      </c>
      <c r="D366">
        <v>8925388</v>
      </c>
      <c r="E366">
        <v>3816</v>
      </c>
      <c r="F366" t="s">
        <v>1230</v>
      </c>
      <c r="G366">
        <v>2</v>
      </c>
      <c r="H366" s="3" t="s">
        <v>2067</v>
      </c>
      <c r="I366" s="3" t="s">
        <v>2081</v>
      </c>
      <c r="K366" t="s">
        <v>1400</v>
      </c>
      <c r="L366" t="s">
        <v>176</v>
      </c>
      <c r="M366" t="s">
        <v>844</v>
      </c>
      <c r="P366" t="s">
        <v>858</v>
      </c>
      <c r="R366" t="s">
        <v>85</v>
      </c>
      <c r="W366" t="s">
        <v>996</v>
      </c>
      <c r="X366" t="s">
        <v>837</v>
      </c>
      <c r="AA366" t="s">
        <v>1057</v>
      </c>
      <c r="AB366" t="s">
        <v>53</v>
      </c>
      <c r="AC366">
        <v>36</v>
      </c>
    </row>
    <row r="367" spans="1:29" x14ac:dyDescent="0.2">
      <c r="A367" t="s">
        <v>1401</v>
      </c>
      <c r="B367" t="s">
        <v>1402</v>
      </c>
      <c r="C367">
        <v>8343339</v>
      </c>
      <c r="D367">
        <v>7429396</v>
      </c>
      <c r="E367">
        <v>1496</v>
      </c>
      <c r="F367" t="s">
        <v>1367</v>
      </c>
      <c r="G367">
        <v>3</v>
      </c>
      <c r="H367" s="3" t="s">
        <v>2067</v>
      </c>
      <c r="I367" s="3" t="s">
        <v>2081</v>
      </c>
      <c r="K367" t="s">
        <v>1403</v>
      </c>
      <c r="L367" t="s">
        <v>176</v>
      </c>
      <c r="M367" t="s">
        <v>844</v>
      </c>
      <c r="P367" t="s">
        <v>858</v>
      </c>
      <c r="R367" t="s">
        <v>85</v>
      </c>
      <c r="W367" t="s">
        <v>862</v>
      </c>
      <c r="X367" t="s">
        <v>837</v>
      </c>
      <c r="AA367" t="s">
        <v>1115</v>
      </c>
      <c r="AB367" t="s">
        <v>53</v>
      </c>
      <c r="AC367">
        <v>36</v>
      </c>
    </row>
    <row r="368" spans="1:29" x14ac:dyDescent="0.2">
      <c r="A368" t="s">
        <v>1404</v>
      </c>
      <c r="B368" t="s">
        <v>1405</v>
      </c>
      <c r="C368">
        <v>10849049</v>
      </c>
      <c r="D368">
        <v>3490233</v>
      </c>
      <c r="E368">
        <v>3421</v>
      </c>
      <c r="F368" t="s">
        <v>1127</v>
      </c>
      <c r="G368">
        <v>1</v>
      </c>
      <c r="H368" s="3" t="s">
        <v>2067</v>
      </c>
      <c r="I368" s="3" t="s">
        <v>2082</v>
      </c>
      <c r="K368" t="s">
        <v>1406</v>
      </c>
      <c r="L368" t="s">
        <v>176</v>
      </c>
      <c r="M368" t="s">
        <v>844</v>
      </c>
      <c r="P368" t="s">
        <v>1169</v>
      </c>
      <c r="R368" t="s">
        <v>85</v>
      </c>
      <c r="W368" t="s">
        <v>996</v>
      </c>
      <c r="X368" t="s">
        <v>837</v>
      </c>
      <c r="Y368">
        <v>2</v>
      </c>
      <c r="AA368" t="s">
        <v>1047</v>
      </c>
      <c r="AB368" t="s">
        <v>53</v>
      </c>
      <c r="AC368">
        <v>36</v>
      </c>
    </row>
    <row r="369" spans="1:29" x14ac:dyDescent="0.2">
      <c r="A369" t="s">
        <v>1407</v>
      </c>
      <c r="B369" t="s">
        <v>1408</v>
      </c>
      <c r="C369">
        <v>17957707</v>
      </c>
      <c r="D369">
        <v>6620640</v>
      </c>
      <c r="E369">
        <v>4918</v>
      </c>
      <c r="F369" t="s">
        <v>1230</v>
      </c>
      <c r="G369">
        <v>2</v>
      </c>
      <c r="H369" s="3" t="s">
        <v>2067</v>
      </c>
      <c r="I369" s="3" t="s">
        <v>2082</v>
      </c>
      <c r="K369" t="s">
        <v>1409</v>
      </c>
      <c r="L369" t="s">
        <v>176</v>
      </c>
      <c r="M369" t="s">
        <v>844</v>
      </c>
      <c r="P369" t="s">
        <v>1169</v>
      </c>
      <c r="R369" t="s">
        <v>85</v>
      </c>
      <c r="W369" t="s">
        <v>1092</v>
      </c>
      <c r="X369" t="s">
        <v>837</v>
      </c>
      <c r="AA369" t="s">
        <v>1086</v>
      </c>
      <c r="AB369" t="s">
        <v>53</v>
      </c>
      <c r="AC369">
        <v>36</v>
      </c>
    </row>
    <row r="370" spans="1:29" x14ac:dyDescent="0.2">
      <c r="A370" t="s">
        <v>1410</v>
      </c>
      <c r="B370" t="s">
        <v>1411</v>
      </c>
      <c r="C370">
        <v>15284047</v>
      </c>
      <c r="D370">
        <v>5051150</v>
      </c>
      <c r="E370">
        <v>4315</v>
      </c>
      <c r="F370" t="s">
        <v>1367</v>
      </c>
      <c r="G370">
        <v>3</v>
      </c>
      <c r="H370" s="3" t="s">
        <v>2067</v>
      </c>
      <c r="I370" s="3" t="s">
        <v>2082</v>
      </c>
      <c r="K370" t="s">
        <v>1412</v>
      </c>
      <c r="L370" t="s">
        <v>176</v>
      </c>
      <c r="M370" t="s">
        <v>844</v>
      </c>
      <c r="P370" t="s">
        <v>1169</v>
      </c>
      <c r="R370" t="s">
        <v>85</v>
      </c>
      <c r="W370" t="s">
        <v>848</v>
      </c>
      <c r="X370" t="s">
        <v>837</v>
      </c>
      <c r="AA370" t="s">
        <v>1149</v>
      </c>
      <c r="AB370" t="s">
        <v>53</v>
      </c>
      <c r="AC370">
        <v>36</v>
      </c>
    </row>
    <row r="371" spans="1:29" x14ac:dyDescent="0.2">
      <c r="A371" t="s">
        <v>1413</v>
      </c>
      <c r="B371" t="s">
        <v>1414</v>
      </c>
      <c r="C371">
        <v>12775530</v>
      </c>
      <c r="D371">
        <v>11549096</v>
      </c>
      <c r="E371">
        <v>2505</v>
      </c>
      <c r="F371" t="s">
        <v>1127</v>
      </c>
      <c r="G371">
        <v>1</v>
      </c>
      <c r="H371" s="3" t="s">
        <v>2067</v>
      </c>
      <c r="I371" s="3" t="s">
        <v>2082</v>
      </c>
      <c r="K371" t="s">
        <v>1415</v>
      </c>
      <c r="L371" t="s">
        <v>176</v>
      </c>
      <c r="M371" t="s">
        <v>844</v>
      </c>
      <c r="P371" t="s">
        <v>858</v>
      </c>
      <c r="R371" t="s">
        <v>85</v>
      </c>
      <c r="W371" t="s">
        <v>848</v>
      </c>
      <c r="X371" t="s">
        <v>837</v>
      </c>
      <c r="Y371">
        <v>2</v>
      </c>
      <c r="AA371" t="s">
        <v>1022</v>
      </c>
      <c r="AB371" t="s">
        <v>53</v>
      </c>
      <c r="AC371">
        <v>36</v>
      </c>
    </row>
    <row r="372" spans="1:29" x14ac:dyDescent="0.2">
      <c r="A372" t="s">
        <v>1416</v>
      </c>
      <c r="B372" t="s">
        <v>1417</v>
      </c>
      <c r="C372">
        <v>7528854</v>
      </c>
      <c r="D372">
        <v>6855999</v>
      </c>
      <c r="E372">
        <v>1280</v>
      </c>
      <c r="F372" t="s">
        <v>1230</v>
      </c>
      <c r="G372">
        <v>2</v>
      </c>
      <c r="H372" s="3" t="s">
        <v>2067</v>
      </c>
      <c r="I372" s="3" t="s">
        <v>2082</v>
      </c>
      <c r="K372" t="s">
        <v>1418</v>
      </c>
      <c r="L372" t="s">
        <v>176</v>
      </c>
      <c r="M372" t="s">
        <v>844</v>
      </c>
      <c r="P372" t="s">
        <v>858</v>
      </c>
      <c r="R372" t="s">
        <v>85</v>
      </c>
      <c r="W372" t="s">
        <v>964</v>
      </c>
      <c r="X372" t="s">
        <v>837</v>
      </c>
      <c r="AA372" t="s">
        <v>960</v>
      </c>
      <c r="AB372" t="s">
        <v>53</v>
      </c>
      <c r="AC372">
        <v>36</v>
      </c>
    </row>
    <row r="373" spans="1:29" x14ac:dyDescent="0.2">
      <c r="A373" t="s">
        <v>1419</v>
      </c>
      <c r="B373" t="s">
        <v>1420</v>
      </c>
      <c r="C373">
        <v>24655610</v>
      </c>
      <c r="D373">
        <v>6965435</v>
      </c>
      <c r="E373">
        <v>7777</v>
      </c>
      <c r="F373" t="s">
        <v>1367</v>
      </c>
      <c r="G373">
        <v>3</v>
      </c>
      <c r="H373" s="3" t="s">
        <v>2067</v>
      </c>
      <c r="I373" s="3" t="s">
        <v>2082</v>
      </c>
      <c r="K373" t="s">
        <v>1421</v>
      </c>
      <c r="L373" t="s">
        <v>176</v>
      </c>
      <c r="M373" t="s">
        <v>844</v>
      </c>
      <c r="P373" t="s">
        <v>858</v>
      </c>
      <c r="R373" t="s">
        <v>85</v>
      </c>
      <c r="W373" t="s">
        <v>977</v>
      </c>
      <c r="X373" t="s">
        <v>837</v>
      </c>
      <c r="AA373" t="s">
        <v>1121</v>
      </c>
      <c r="AB373" t="s">
        <v>53</v>
      </c>
      <c r="AC373">
        <v>36</v>
      </c>
    </row>
    <row r="374" spans="1:29" x14ac:dyDescent="0.2">
      <c r="A374" t="s">
        <v>1422</v>
      </c>
      <c r="B374" t="s">
        <v>1423</v>
      </c>
      <c r="C374">
        <v>415472</v>
      </c>
      <c r="D374">
        <v>11096</v>
      </c>
      <c r="E374">
        <v>140</v>
      </c>
      <c r="F374" t="s">
        <v>1127</v>
      </c>
      <c r="G374">
        <v>1</v>
      </c>
      <c r="H374" s="3" t="s">
        <v>2068</v>
      </c>
      <c r="J374" s="3" t="s">
        <v>2084</v>
      </c>
      <c r="K374" t="s">
        <v>530</v>
      </c>
      <c r="L374" t="s">
        <v>176</v>
      </c>
      <c r="M374" t="s">
        <v>844</v>
      </c>
      <c r="N374" t="s">
        <v>1424</v>
      </c>
      <c r="P374" t="s">
        <v>1427</v>
      </c>
      <c r="R374" t="s">
        <v>85</v>
      </c>
      <c r="W374" t="s">
        <v>1425</v>
      </c>
      <c r="X374" t="s">
        <v>837</v>
      </c>
      <c r="AA374" t="s">
        <v>943</v>
      </c>
      <c r="AB374" t="s">
        <v>1426</v>
      </c>
      <c r="AC374">
        <v>38</v>
      </c>
    </row>
    <row r="375" spans="1:29" x14ac:dyDescent="0.2">
      <c r="A375" t="s">
        <v>1428</v>
      </c>
      <c r="B375" t="s">
        <v>1429</v>
      </c>
      <c r="C375">
        <v>247689</v>
      </c>
      <c r="D375">
        <v>11034</v>
      </c>
      <c r="E375">
        <v>153</v>
      </c>
      <c r="F375" t="s">
        <v>1431</v>
      </c>
      <c r="G375">
        <v>2</v>
      </c>
      <c r="H375" s="3" t="s">
        <v>2068</v>
      </c>
      <c r="J375" s="3" t="s">
        <v>2084</v>
      </c>
      <c r="K375" t="s">
        <v>1430</v>
      </c>
      <c r="L375" t="s">
        <v>176</v>
      </c>
      <c r="M375" t="s">
        <v>844</v>
      </c>
      <c r="N375" t="s">
        <v>1424</v>
      </c>
      <c r="P375" t="s">
        <v>1427</v>
      </c>
      <c r="R375" t="s">
        <v>85</v>
      </c>
      <c r="W375" t="s">
        <v>964</v>
      </c>
      <c r="X375" t="s">
        <v>837</v>
      </c>
      <c r="AA375" t="s">
        <v>932</v>
      </c>
      <c r="AB375" t="s">
        <v>1426</v>
      </c>
      <c r="AC375">
        <v>38</v>
      </c>
    </row>
    <row r="376" spans="1:29" x14ac:dyDescent="0.2">
      <c r="A376" t="s">
        <v>1432</v>
      </c>
      <c r="B376" t="s">
        <v>1433</v>
      </c>
      <c r="C376">
        <v>2691000</v>
      </c>
      <c r="D376">
        <v>2513636</v>
      </c>
      <c r="E376">
        <v>323</v>
      </c>
      <c r="F376" t="s">
        <v>1435</v>
      </c>
      <c r="G376">
        <v>3</v>
      </c>
      <c r="H376" s="3" t="s">
        <v>2068</v>
      </c>
      <c r="J376" s="3" t="s">
        <v>2084</v>
      </c>
      <c r="K376" t="s">
        <v>1434</v>
      </c>
      <c r="L376" t="s">
        <v>176</v>
      </c>
      <c r="M376" t="s">
        <v>1436</v>
      </c>
      <c r="N376" t="s">
        <v>1424</v>
      </c>
      <c r="P376" t="s">
        <v>1427</v>
      </c>
      <c r="R376" t="s">
        <v>85</v>
      </c>
      <c r="W376" t="s">
        <v>1063</v>
      </c>
      <c r="X376" t="s">
        <v>837</v>
      </c>
      <c r="AA376" t="s">
        <v>974</v>
      </c>
      <c r="AB376" t="s">
        <v>1426</v>
      </c>
      <c r="AC376">
        <v>38</v>
      </c>
    </row>
    <row r="377" spans="1:29" x14ac:dyDescent="0.2">
      <c r="A377" t="s">
        <v>1437</v>
      </c>
      <c r="B377" t="s">
        <v>1438</v>
      </c>
      <c r="C377">
        <v>7586199</v>
      </c>
      <c r="D377">
        <v>40631</v>
      </c>
      <c r="E377">
        <v>3721</v>
      </c>
      <c r="F377" t="s">
        <v>1127</v>
      </c>
      <c r="G377">
        <v>1</v>
      </c>
      <c r="H377" s="3" t="s">
        <v>2067</v>
      </c>
      <c r="I377" s="3" t="s">
        <v>838</v>
      </c>
      <c r="K377" t="s">
        <v>1439</v>
      </c>
      <c r="L377" t="s">
        <v>176</v>
      </c>
      <c r="M377" t="s">
        <v>844</v>
      </c>
      <c r="P377" t="s">
        <v>858</v>
      </c>
      <c r="R377" t="s">
        <v>85</v>
      </c>
      <c r="W377" t="s">
        <v>862</v>
      </c>
      <c r="X377" t="s">
        <v>837</v>
      </c>
      <c r="AA377" t="s">
        <v>841</v>
      </c>
      <c r="AB377" t="s">
        <v>1426</v>
      </c>
      <c r="AC377">
        <v>38</v>
      </c>
    </row>
    <row r="378" spans="1:29" x14ac:dyDescent="0.2">
      <c r="A378" t="s">
        <v>1440</v>
      </c>
      <c r="B378" t="s">
        <v>1441</v>
      </c>
      <c r="C378">
        <v>15464969</v>
      </c>
      <c r="D378">
        <v>703691</v>
      </c>
      <c r="E378">
        <v>5798</v>
      </c>
      <c r="F378" t="s">
        <v>1127</v>
      </c>
      <c r="G378">
        <v>2</v>
      </c>
      <c r="H378" s="3" t="s">
        <v>2067</v>
      </c>
      <c r="I378" s="3" t="s">
        <v>838</v>
      </c>
      <c r="K378" t="s">
        <v>1442</v>
      </c>
      <c r="L378" t="s">
        <v>176</v>
      </c>
      <c r="M378" t="s">
        <v>844</v>
      </c>
      <c r="P378" t="s">
        <v>858</v>
      </c>
      <c r="R378" t="s">
        <v>85</v>
      </c>
      <c r="W378" t="s">
        <v>1425</v>
      </c>
      <c r="X378" t="s">
        <v>837</v>
      </c>
      <c r="AA378" t="s">
        <v>876</v>
      </c>
      <c r="AB378" t="s">
        <v>1426</v>
      </c>
      <c r="AC378">
        <v>38</v>
      </c>
    </row>
    <row r="379" spans="1:29" x14ac:dyDescent="0.2">
      <c r="A379" t="s">
        <v>1443</v>
      </c>
      <c r="B379" t="s">
        <v>1444</v>
      </c>
      <c r="C379">
        <v>17232318</v>
      </c>
      <c r="D379">
        <v>45485</v>
      </c>
      <c r="E379">
        <v>7484</v>
      </c>
      <c r="F379" t="s">
        <v>1435</v>
      </c>
      <c r="G379">
        <v>3</v>
      </c>
      <c r="H379" s="3" t="s">
        <v>2067</v>
      </c>
      <c r="I379" s="3" t="s">
        <v>838</v>
      </c>
      <c r="K379" t="s">
        <v>1445</v>
      </c>
      <c r="L379" t="s">
        <v>176</v>
      </c>
      <c r="M379" t="s">
        <v>1436</v>
      </c>
      <c r="P379" t="s">
        <v>858</v>
      </c>
      <c r="R379" t="s">
        <v>85</v>
      </c>
      <c r="W379" t="s">
        <v>888</v>
      </c>
      <c r="X379" t="s">
        <v>837</v>
      </c>
      <c r="AA379" t="s">
        <v>911</v>
      </c>
      <c r="AB379" t="s">
        <v>1426</v>
      </c>
      <c r="AC379">
        <v>38</v>
      </c>
    </row>
    <row r="380" spans="1:29" x14ac:dyDescent="0.2">
      <c r="A380" t="s">
        <v>1446</v>
      </c>
      <c r="B380" t="s">
        <v>1447</v>
      </c>
      <c r="C380">
        <v>10931816</v>
      </c>
      <c r="D380">
        <v>1532980</v>
      </c>
      <c r="E380">
        <v>4008</v>
      </c>
      <c r="F380" t="s">
        <v>1431</v>
      </c>
      <c r="G380">
        <v>2</v>
      </c>
      <c r="H380" s="3" t="s">
        <v>2067</v>
      </c>
      <c r="I380" s="3" t="s">
        <v>838</v>
      </c>
      <c r="K380" t="s">
        <v>1448</v>
      </c>
      <c r="L380" t="s">
        <v>176</v>
      </c>
      <c r="M380" t="s">
        <v>844</v>
      </c>
      <c r="P380" t="s">
        <v>1449</v>
      </c>
      <c r="R380" t="s">
        <v>85</v>
      </c>
      <c r="W380" t="s">
        <v>888</v>
      </c>
      <c r="X380" t="s">
        <v>837</v>
      </c>
      <c r="AA380" t="s">
        <v>889</v>
      </c>
      <c r="AB380" t="s">
        <v>1426</v>
      </c>
      <c r="AC380">
        <v>38</v>
      </c>
    </row>
    <row r="381" spans="1:29" x14ac:dyDescent="0.2">
      <c r="A381" t="s">
        <v>1450</v>
      </c>
      <c r="B381" t="s">
        <v>1451</v>
      </c>
      <c r="C381">
        <v>14127933</v>
      </c>
      <c r="D381">
        <v>48723</v>
      </c>
      <c r="E381">
        <v>6192</v>
      </c>
      <c r="F381" t="s">
        <v>1435</v>
      </c>
      <c r="G381">
        <v>3</v>
      </c>
      <c r="H381" s="3" t="s">
        <v>2067</v>
      </c>
      <c r="I381" s="3" t="s">
        <v>838</v>
      </c>
      <c r="K381" t="s">
        <v>1452</v>
      </c>
      <c r="L381" t="s">
        <v>176</v>
      </c>
      <c r="M381" t="s">
        <v>1436</v>
      </c>
      <c r="P381" t="s">
        <v>1449</v>
      </c>
      <c r="R381" t="s">
        <v>85</v>
      </c>
      <c r="W381" t="s">
        <v>888</v>
      </c>
      <c r="X381" t="s">
        <v>837</v>
      </c>
      <c r="AA381" t="s">
        <v>922</v>
      </c>
      <c r="AB381" t="s">
        <v>1426</v>
      </c>
      <c r="AC381">
        <v>38</v>
      </c>
    </row>
    <row r="382" spans="1:29" x14ac:dyDescent="0.2">
      <c r="A382" t="s">
        <v>1453</v>
      </c>
      <c r="B382" t="s">
        <v>1454</v>
      </c>
      <c r="C382">
        <v>553893</v>
      </c>
      <c r="D382">
        <v>6976</v>
      </c>
      <c r="E382">
        <v>235</v>
      </c>
      <c r="F382" t="s">
        <v>1367</v>
      </c>
      <c r="G382">
        <v>1</v>
      </c>
      <c r="H382" s="3" t="s">
        <v>2068</v>
      </c>
      <c r="J382" s="3" t="s">
        <v>2084</v>
      </c>
      <c r="K382" t="s">
        <v>1455</v>
      </c>
      <c r="L382" t="s">
        <v>176</v>
      </c>
      <c r="M382" t="s">
        <v>1436</v>
      </c>
      <c r="N382" t="s">
        <v>1424</v>
      </c>
      <c r="P382" t="s">
        <v>1427</v>
      </c>
      <c r="R382" t="s">
        <v>85</v>
      </c>
      <c r="W382" t="s">
        <v>856</v>
      </c>
      <c r="X382" t="s">
        <v>837</v>
      </c>
      <c r="AA382" t="s">
        <v>1031</v>
      </c>
      <c r="AB382" t="s">
        <v>1426</v>
      </c>
      <c r="AC382">
        <v>39</v>
      </c>
    </row>
    <row r="383" spans="1:29" x14ac:dyDescent="0.2">
      <c r="A383" t="s">
        <v>1456</v>
      </c>
      <c r="B383" t="s">
        <v>1457</v>
      </c>
      <c r="C383">
        <v>376901</v>
      </c>
      <c r="D383">
        <v>11366</v>
      </c>
      <c r="E383">
        <v>302</v>
      </c>
      <c r="F383" t="s">
        <v>1431</v>
      </c>
      <c r="G383">
        <v>2</v>
      </c>
      <c r="H383" s="3" t="s">
        <v>2068</v>
      </c>
      <c r="J383" s="3" t="s">
        <v>2084</v>
      </c>
      <c r="K383" t="s">
        <v>1458</v>
      </c>
      <c r="L383" t="s">
        <v>176</v>
      </c>
      <c r="M383" t="s">
        <v>1436</v>
      </c>
      <c r="N383" t="s">
        <v>1424</v>
      </c>
      <c r="P383" t="s">
        <v>1427</v>
      </c>
      <c r="R383" t="s">
        <v>85</v>
      </c>
      <c r="W383" t="s">
        <v>862</v>
      </c>
      <c r="X383" t="s">
        <v>837</v>
      </c>
      <c r="AA383" t="s">
        <v>1050</v>
      </c>
      <c r="AB383" t="s">
        <v>1426</v>
      </c>
      <c r="AC383">
        <v>39</v>
      </c>
    </row>
    <row r="384" spans="1:29" x14ac:dyDescent="0.2">
      <c r="A384" t="s">
        <v>1459</v>
      </c>
      <c r="B384" t="s">
        <v>1460</v>
      </c>
      <c r="C384">
        <v>311931</v>
      </c>
      <c r="D384">
        <v>4726</v>
      </c>
      <c r="E384">
        <v>94</v>
      </c>
      <c r="F384" t="s">
        <v>1462</v>
      </c>
      <c r="G384">
        <v>3</v>
      </c>
      <c r="H384" s="3" t="s">
        <v>2068</v>
      </c>
      <c r="J384" s="3" t="s">
        <v>2084</v>
      </c>
      <c r="K384" t="s">
        <v>1461</v>
      </c>
      <c r="L384" t="s">
        <v>176</v>
      </c>
      <c r="M384" t="s">
        <v>1436</v>
      </c>
      <c r="N384" t="s">
        <v>1424</v>
      </c>
      <c r="P384" t="s">
        <v>1427</v>
      </c>
      <c r="R384" t="s">
        <v>85</v>
      </c>
      <c r="W384" t="s">
        <v>862</v>
      </c>
      <c r="X384" t="s">
        <v>837</v>
      </c>
      <c r="AA384" t="s">
        <v>1041</v>
      </c>
      <c r="AB384" t="s">
        <v>1426</v>
      </c>
      <c r="AC384">
        <v>39</v>
      </c>
    </row>
    <row r="385" spans="1:29" x14ac:dyDescent="0.2">
      <c r="A385" t="s">
        <v>1463</v>
      </c>
      <c r="B385" t="s">
        <v>1464</v>
      </c>
      <c r="C385">
        <v>6060970</v>
      </c>
      <c r="D385">
        <v>19296</v>
      </c>
      <c r="E385">
        <v>2801</v>
      </c>
      <c r="F385" t="s">
        <v>1367</v>
      </c>
      <c r="G385">
        <v>1</v>
      </c>
      <c r="H385" s="3" t="s">
        <v>2067</v>
      </c>
      <c r="I385" s="3" t="s">
        <v>838</v>
      </c>
      <c r="J385" s="3"/>
      <c r="K385" t="s">
        <v>1465</v>
      </c>
      <c r="L385" t="s">
        <v>176</v>
      </c>
      <c r="M385" t="s">
        <v>1436</v>
      </c>
      <c r="P385" t="s">
        <v>1427</v>
      </c>
      <c r="R385" t="s">
        <v>85</v>
      </c>
      <c r="W385" t="s">
        <v>862</v>
      </c>
      <c r="X385" t="s">
        <v>837</v>
      </c>
      <c r="AA385" t="s">
        <v>1000</v>
      </c>
      <c r="AB385" t="s">
        <v>1426</v>
      </c>
      <c r="AC385">
        <v>39</v>
      </c>
    </row>
    <row r="386" spans="1:29" x14ac:dyDescent="0.2">
      <c r="A386" t="s">
        <v>1466</v>
      </c>
      <c r="B386" t="s">
        <v>1467</v>
      </c>
      <c r="C386">
        <v>15149610</v>
      </c>
      <c r="D386">
        <v>48350</v>
      </c>
      <c r="E386">
        <v>5873</v>
      </c>
      <c r="F386" t="s">
        <v>1431</v>
      </c>
      <c r="G386">
        <v>2</v>
      </c>
      <c r="H386" s="3" t="s">
        <v>2067</v>
      </c>
      <c r="I386" s="3" t="s">
        <v>838</v>
      </c>
      <c r="K386" t="s">
        <v>1468</v>
      </c>
      <c r="L386" t="s">
        <v>176</v>
      </c>
      <c r="M386" t="s">
        <v>1436</v>
      </c>
      <c r="P386" t="s">
        <v>1427</v>
      </c>
      <c r="R386" t="s">
        <v>85</v>
      </c>
      <c r="W386" t="s">
        <v>856</v>
      </c>
      <c r="X386" t="s">
        <v>837</v>
      </c>
      <c r="AA386" t="s">
        <v>863</v>
      </c>
      <c r="AB386" t="s">
        <v>1426</v>
      </c>
      <c r="AC386">
        <v>39</v>
      </c>
    </row>
    <row r="387" spans="1:29" x14ac:dyDescent="0.2">
      <c r="A387" t="s">
        <v>1469</v>
      </c>
      <c r="B387" t="s">
        <v>1470</v>
      </c>
      <c r="C387">
        <v>17689265</v>
      </c>
      <c r="D387">
        <v>205436</v>
      </c>
      <c r="E387">
        <v>5619</v>
      </c>
      <c r="F387" t="s">
        <v>1462</v>
      </c>
      <c r="G387">
        <v>3</v>
      </c>
      <c r="H387" s="3" t="s">
        <v>2067</v>
      </c>
      <c r="I387" s="3" t="s">
        <v>838</v>
      </c>
      <c r="K387" t="s">
        <v>1471</v>
      </c>
      <c r="L387" t="s">
        <v>176</v>
      </c>
      <c r="M387" t="s">
        <v>1436</v>
      </c>
      <c r="P387" t="s">
        <v>1427</v>
      </c>
      <c r="R387" t="s">
        <v>85</v>
      </c>
      <c r="W387" t="s">
        <v>848</v>
      </c>
      <c r="X387" t="s">
        <v>837</v>
      </c>
      <c r="AA387" t="s">
        <v>893</v>
      </c>
      <c r="AB387" t="s">
        <v>1426</v>
      </c>
      <c r="AC387">
        <v>39</v>
      </c>
    </row>
    <row r="388" spans="1:29" x14ac:dyDescent="0.2">
      <c r="A388" t="s">
        <v>1472</v>
      </c>
      <c r="B388" t="s">
        <v>1473</v>
      </c>
      <c r="C388">
        <v>13956552</v>
      </c>
      <c r="D388">
        <v>269844</v>
      </c>
      <c r="E388">
        <v>5064</v>
      </c>
      <c r="F388" t="s">
        <v>1367</v>
      </c>
      <c r="G388">
        <v>1</v>
      </c>
      <c r="H388" s="3" t="s">
        <v>2067</v>
      </c>
      <c r="I388" s="3" t="s">
        <v>838</v>
      </c>
      <c r="K388" t="s">
        <v>1474</v>
      </c>
      <c r="L388" t="s">
        <v>176</v>
      </c>
      <c r="M388" t="s">
        <v>1436</v>
      </c>
      <c r="P388" t="s">
        <v>858</v>
      </c>
      <c r="R388" t="s">
        <v>85</v>
      </c>
      <c r="W388" t="s">
        <v>862</v>
      </c>
      <c r="X388" t="s">
        <v>837</v>
      </c>
      <c r="AA388" t="s">
        <v>965</v>
      </c>
      <c r="AB388" t="s">
        <v>1426</v>
      </c>
      <c r="AC388">
        <v>39</v>
      </c>
    </row>
    <row r="389" spans="1:29" x14ac:dyDescent="0.2">
      <c r="A389" t="s">
        <v>1475</v>
      </c>
      <c r="B389" t="s">
        <v>1476</v>
      </c>
      <c r="C389">
        <v>20361877</v>
      </c>
      <c r="D389">
        <v>41708</v>
      </c>
      <c r="E389">
        <v>7459</v>
      </c>
      <c r="F389" t="s">
        <v>1462</v>
      </c>
      <c r="G389">
        <v>3</v>
      </c>
      <c r="H389" s="3" t="s">
        <v>2067</v>
      </c>
      <c r="I389" s="3" t="s">
        <v>838</v>
      </c>
      <c r="K389" t="s">
        <v>1477</v>
      </c>
      <c r="L389" t="s">
        <v>176</v>
      </c>
      <c r="M389" t="s">
        <v>1436</v>
      </c>
      <c r="P389" t="s">
        <v>858</v>
      </c>
      <c r="R389" t="s">
        <v>85</v>
      </c>
      <c r="W389" t="s">
        <v>964</v>
      </c>
      <c r="X389" t="s">
        <v>837</v>
      </c>
      <c r="AA389" t="s">
        <v>849</v>
      </c>
      <c r="AB389" t="s">
        <v>1426</v>
      </c>
      <c r="AC389">
        <v>39</v>
      </c>
    </row>
    <row r="390" spans="1:29" x14ac:dyDescent="0.2">
      <c r="A390" t="s">
        <v>1478</v>
      </c>
      <c r="B390" t="s">
        <v>1479</v>
      </c>
      <c r="C390">
        <v>327071</v>
      </c>
      <c r="D390">
        <v>30371</v>
      </c>
      <c r="E390">
        <v>163</v>
      </c>
      <c r="F390" t="s">
        <v>1481</v>
      </c>
      <c r="G390">
        <v>2</v>
      </c>
      <c r="H390" s="3" t="s">
        <v>2068</v>
      </c>
      <c r="J390" s="3" t="s">
        <v>2084</v>
      </c>
      <c r="K390" t="s">
        <v>1480</v>
      </c>
      <c r="L390" t="s">
        <v>176</v>
      </c>
      <c r="M390" t="s">
        <v>1436</v>
      </c>
      <c r="N390" t="s">
        <v>1424</v>
      </c>
      <c r="P390" t="s">
        <v>1427</v>
      </c>
      <c r="R390" t="s">
        <v>85</v>
      </c>
      <c r="W390" t="s">
        <v>862</v>
      </c>
      <c r="X390" t="s">
        <v>837</v>
      </c>
      <c r="AA390" t="s">
        <v>1016</v>
      </c>
      <c r="AB390" t="s">
        <v>1426</v>
      </c>
      <c r="AC390">
        <v>40</v>
      </c>
    </row>
    <row r="391" spans="1:29" x14ac:dyDescent="0.2">
      <c r="A391" t="s">
        <v>1482</v>
      </c>
      <c r="B391" t="s">
        <v>1483</v>
      </c>
      <c r="C391">
        <v>10442737</v>
      </c>
      <c r="D391">
        <v>67928</v>
      </c>
      <c r="E391">
        <v>4515</v>
      </c>
      <c r="F391" t="s">
        <v>1367</v>
      </c>
      <c r="G391">
        <v>1</v>
      </c>
      <c r="H391" s="3" t="s">
        <v>2067</v>
      </c>
      <c r="I391" s="3" t="s">
        <v>838</v>
      </c>
      <c r="J391" s="3"/>
      <c r="K391" t="s">
        <v>1484</v>
      </c>
      <c r="L391" t="s">
        <v>176</v>
      </c>
      <c r="M391" t="s">
        <v>1436</v>
      </c>
      <c r="P391" t="s">
        <v>858</v>
      </c>
      <c r="R391" t="s">
        <v>85</v>
      </c>
      <c r="W391" t="s">
        <v>903</v>
      </c>
      <c r="X391" t="s">
        <v>837</v>
      </c>
      <c r="AA391" t="s">
        <v>926</v>
      </c>
      <c r="AB391" t="s">
        <v>1426</v>
      </c>
      <c r="AC391">
        <v>40</v>
      </c>
    </row>
    <row r="392" spans="1:29" x14ac:dyDescent="0.2">
      <c r="A392" t="s">
        <v>1485</v>
      </c>
      <c r="B392" t="s">
        <v>1486</v>
      </c>
      <c r="C392">
        <v>97462789</v>
      </c>
      <c r="D392">
        <v>370565</v>
      </c>
      <c r="E392">
        <v>38866</v>
      </c>
      <c r="F392" t="s">
        <v>1481</v>
      </c>
      <c r="G392">
        <v>2</v>
      </c>
      <c r="H392" s="3" t="s">
        <v>2067</v>
      </c>
      <c r="I392" s="3" t="s">
        <v>838</v>
      </c>
      <c r="J392" s="3"/>
      <c r="K392" t="s">
        <v>1487</v>
      </c>
      <c r="L392" t="s">
        <v>176</v>
      </c>
      <c r="M392" t="s">
        <v>1436</v>
      </c>
      <c r="P392" t="s">
        <v>858</v>
      </c>
      <c r="R392" t="s">
        <v>85</v>
      </c>
      <c r="W392" t="s">
        <v>1488</v>
      </c>
      <c r="X392" t="s">
        <v>837</v>
      </c>
      <c r="AA392" t="s">
        <v>900</v>
      </c>
      <c r="AB392" t="s">
        <v>1426</v>
      </c>
      <c r="AC392">
        <v>40</v>
      </c>
    </row>
    <row r="393" spans="1:29" x14ac:dyDescent="0.2">
      <c r="A393" t="s">
        <v>1489</v>
      </c>
      <c r="B393" t="s">
        <v>1490</v>
      </c>
      <c r="C393">
        <v>20291047</v>
      </c>
      <c r="D393">
        <v>42480</v>
      </c>
      <c r="E393">
        <v>8923</v>
      </c>
      <c r="F393" t="s">
        <v>1462</v>
      </c>
      <c r="G393">
        <v>3</v>
      </c>
      <c r="H393" s="3" t="s">
        <v>2067</v>
      </c>
      <c r="I393" s="3" t="s">
        <v>838</v>
      </c>
      <c r="K393" t="s">
        <v>1491</v>
      </c>
      <c r="L393" t="s">
        <v>176</v>
      </c>
      <c r="M393" t="s">
        <v>1436</v>
      </c>
      <c r="P393" t="s">
        <v>858</v>
      </c>
      <c r="R393" t="s">
        <v>85</v>
      </c>
      <c r="W393" t="s">
        <v>866</v>
      </c>
      <c r="X393" t="s">
        <v>837</v>
      </c>
      <c r="AA393" t="s">
        <v>904</v>
      </c>
      <c r="AB393" t="s">
        <v>1426</v>
      </c>
      <c r="AC393">
        <v>40</v>
      </c>
    </row>
    <row r="394" spans="1:29" x14ac:dyDescent="0.2">
      <c r="A394" t="s">
        <v>1492</v>
      </c>
      <c r="B394" t="s">
        <v>1493</v>
      </c>
      <c r="C394">
        <v>9556323</v>
      </c>
      <c r="D394">
        <v>29691</v>
      </c>
      <c r="E394">
        <v>4699</v>
      </c>
      <c r="F394" t="s">
        <v>1367</v>
      </c>
      <c r="G394">
        <v>1</v>
      </c>
      <c r="H394" s="3" t="s">
        <v>2067</v>
      </c>
      <c r="I394" s="3" t="s">
        <v>838</v>
      </c>
      <c r="K394" t="s">
        <v>1494</v>
      </c>
      <c r="L394" t="s">
        <v>176</v>
      </c>
      <c r="M394" t="s">
        <v>1436</v>
      </c>
      <c r="P394" t="s">
        <v>1449</v>
      </c>
      <c r="R394" t="s">
        <v>85</v>
      </c>
      <c r="W394" t="s">
        <v>862</v>
      </c>
      <c r="X394" t="s">
        <v>837</v>
      </c>
      <c r="AA394" t="s">
        <v>881</v>
      </c>
      <c r="AB394" t="s">
        <v>1426</v>
      </c>
      <c r="AC394">
        <v>40</v>
      </c>
    </row>
    <row r="395" spans="1:29" x14ac:dyDescent="0.2">
      <c r="A395" t="s">
        <v>1495</v>
      </c>
      <c r="B395" t="s">
        <v>1496</v>
      </c>
      <c r="C395">
        <v>10061693</v>
      </c>
      <c r="D395">
        <v>2204523</v>
      </c>
      <c r="E395">
        <v>3906</v>
      </c>
      <c r="F395" t="s">
        <v>1481</v>
      </c>
      <c r="G395">
        <v>2</v>
      </c>
      <c r="H395" s="3" t="s">
        <v>2067</v>
      </c>
      <c r="I395" s="3" t="s">
        <v>838</v>
      </c>
      <c r="K395" t="s">
        <v>1497</v>
      </c>
      <c r="L395" t="s">
        <v>176</v>
      </c>
      <c r="M395" t="s">
        <v>1436</v>
      </c>
      <c r="P395" t="s">
        <v>1449</v>
      </c>
      <c r="R395" t="s">
        <v>85</v>
      </c>
      <c r="W395" t="s">
        <v>996</v>
      </c>
      <c r="X395" t="s">
        <v>837</v>
      </c>
      <c r="AA395" t="s">
        <v>915</v>
      </c>
      <c r="AB395" t="s">
        <v>1426</v>
      </c>
      <c r="AC395">
        <v>40</v>
      </c>
    </row>
    <row r="396" spans="1:29" x14ac:dyDescent="0.2">
      <c r="A396" t="s">
        <v>1498</v>
      </c>
      <c r="B396" t="s">
        <v>1499</v>
      </c>
      <c r="C396">
        <v>9072653</v>
      </c>
      <c r="D396">
        <v>28699</v>
      </c>
      <c r="E396">
        <v>3963</v>
      </c>
      <c r="F396" t="s">
        <v>1462</v>
      </c>
      <c r="G396">
        <v>3</v>
      </c>
      <c r="H396" s="3" t="s">
        <v>2067</v>
      </c>
      <c r="I396" s="3" t="s">
        <v>838</v>
      </c>
      <c r="K396" t="s">
        <v>1500</v>
      </c>
      <c r="L396" t="s">
        <v>176</v>
      </c>
      <c r="M396" t="s">
        <v>1436</v>
      </c>
      <c r="P396" t="s">
        <v>1449</v>
      </c>
      <c r="R396" t="s">
        <v>85</v>
      </c>
      <c r="W396" t="s">
        <v>903</v>
      </c>
      <c r="X396" t="s">
        <v>837</v>
      </c>
      <c r="AA396" t="s">
        <v>952</v>
      </c>
      <c r="AB396" t="s">
        <v>1426</v>
      </c>
      <c r="AC396">
        <v>40</v>
      </c>
    </row>
    <row r="397" spans="1:29" x14ac:dyDescent="0.2">
      <c r="A397" t="s">
        <v>1501</v>
      </c>
      <c r="B397" t="s">
        <v>1502</v>
      </c>
      <c r="C397">
        <v>26090474</v>
      </c>
      <c r="D397">
        <v>70983</v>
      </c>
      <c r="E397">
        <v>11398</v>
      </c>
      <c r="F397" t="s">
        <v>1481</v>
      </c>
      <c r="G397">
        <v>1</v>
      </c>
      <c r="H397" s="3" t="s">
        <v>2067</v>
      </c>
      <c r="I397" s="3" t="s">
        <v>838</v>
      </c>
      <c r="K397" t="s">
        <v>1503</v>
      </c>
      <c r="L397" t="s">
        <v>176</v>
      </c>
      <c r="M397" t="s">
        <v>1436</v>
      </c>
      <c r="P397" t="s">
        <v>1427</v>
      </c>
      <c r="R397" t="s">
        <v>85</v>
      </c>
      <c r="W397" t="s">
        <v>856</v>
      </c>
      <c r="X397" t="s">
        <v>837</v>
      </c>
      <c r="AA397" t="s">
        <v>853</v>
      </c>
      <c r="AB397" t="s">
        <v>1426</v>
      </c>
      <c r="AC397">
        <v>41</v>
      </c>
    </row>
    <row r="398" spans="1:29" x14ac:dyDescent="0.2">
      <c r="A398" t="s">
        <v>1504</v>
      </c>
      <c r="B398" t="s">
        <v>1505</v>
      </c>
      <c r="C398">
        <v>3316485</v>
      </c>
      <c r="D398">
        <v>32719</v>
      </c>
      <c r="E398">
        <v>1779</v>
      </c>
      <c r="F398" t="s">
        <v>1481</v>
      </c>
      <c r="G398">
        <v>2</v>
      </c>
      <c r="H398" s="3" t="s">
        <v>2067</v>
      </c>
      <c r="I398" s="3" t="s">
        <v>838</v>
      </c>
      <c r="K398" t="s">
        <v>1506</v>
      </c>
      <c r="L398" t="s">
        <v>176</v>
      </c>
      <c r="M398" t="s">
        <v>1436</v>
      </c>
      <c r="P398" t="s">
        <v>1427</v>
      </c>
      <c r="R398" t="s">
        <v>85</v>
      </c>
      <c r="W398" t="s">
        <v>1425</v>
      </c>
      <c r="X398" t="s">
        <v>837</v>
      </c>
      <c r="AA398" t="s">
        <v>884</v>
      </c>
      <c r="AB398" t="s">
        <v>1426</v>
      </c>
      <c r="AC398">
        <v>41</v>
      </c>
    </row>
    <row r="399" spans="1:29" x14ac:dyDescent="0.2">
      <c r="A399" t="s">
        <v>1507</v>
      </c>
      <c r="B399" t="s">
        <v>1508</v>
      </c>
      <c r="C399">
        <v>42781145</v>
      </c>
      <c r="D399">
        <v>100153</v>
      </c>
      <c r="E399">
        <v>18583</v>
      </c>
      <c r="F399" t="s">
        <v>1431</v>
      </c>
      <c r="G399">
        <v>3</v>
      </c>
      <c r="H399" s="3" t="s">
        <v>2067</v>
      </c>
      <c r="I399" s="3" t="s">
        <v>838</v>
      </c>
      <c r="K399" t="s">
        <v>1509</v>
      </c>
      <c r="L399" t="s">
        <v>176</v>
      </c>
      <c r="M399" t="s">
        <v>1436</v>
      </c>
      <c r="P399" t="s">
        <v>1427</v>
      </c>
      <c r="R399" t="s">
        <v>85</v>
      </c>
      <c r="W399" t="s">
        <v>996</v>
      </c>
      <c r="X399" t="s">
        <v>837</v>
      </c>
      <c r="AA399" t="s">
        <v>919</v>
      </c>
      <c r="AB399" t="s">
        <v>1426</v>
      </c>
      <c r="AC399">
        <v>41</v>
      </c>
    </row>
    <row r="400" spans="1:29" x14ac:dyDescent="0.2">
      <c r="A400" t="s">
        <v>1510</v>
      </c>
      <c r="B400" t="s">
        <v>1511</v>
      </c>
      <c r="C400">
        <v>27415075</v>
      </c>
      <c r="D400">
        <v>74095</v>
      </c>
      <c r="E400">
        <v>12414</v>
      </c>
      <c r="F400" t="s">
        <v>1481</v>
      </c>
      <c r="G400">
        <v>1</v>
      </c>
      <c r="H400" s="3" t="s">
        <v>2067</v>
      </c>
      <c r="I400" s="3" t="s">
        <v>838</v>
      </c>
      <c r="K400" t="s">
        <v>1512</v>
      </c>
      <c r="L400" t="s">
        <v>176</v>
      </c>
      <c r="M400" t="s">
        <v>1436</v>
      </c>
      <c r="P400" t="s">
        <v>858</v>
      </c>
      <c r="R400" t="s">
        <v>85</v>
      </c>
      <c r="W400" t="s">
        <v>964</v>
      </c>
      <c r="X400" t="s">
        <v>837</v>
      </c>
      <c r="AA400" t="s">
        <v>867</v>
      </c>
      <c r="AB400" t="s">
        <v>1426</v>
      </c>
      <c r="AC400">
        <v>41</v>
      </c>
    </row>
    <row r="401" spans="1:29" x14ac:dyDescent="0.2">
      <c r="A401" t="s">
        <v>1513</v>
      </c>
      <c r="B401" t="s">
        <v>1514</v>
      </c>
      <c r="C401">
        <v>379881</v>
      </c>
      <c r="D401">
        <v>1401</v>
      </c>
      <c r="E401">
        <v>136</v>
      </c>
      <c r="F401" t="s">
        <v>1431</v>
      </c>
      <c r="G401">
        <v>2</v>
      </c>
      <c r="H401" s="3" t="s">
        <v>2067</v>
      </c>
      <c r="I401" s="3" t="s">
        <v>838</v>
      </c>
      <c r="K401" t="s">
        <v>1515</v>
      </c>
      <c r="L401" t="s">
        <v>176</v>
      </c>
      <c r="M401" t="s">
        <v>1436</v>
      </c>
      <c r="P401" t="s">
        <v>858</v>
      </c>
      <c r="R401" t="s">
        <v>85</v>
      </c>
      <c r="W401" t="s">
        <v>996</v>
      </c>
      <c r="X401" t="s">
        <v>837</v>
      </c>
      <c r="AA401" t="s">
        <v>897</v>
      </c>
      <c r="AB401" t="s">
        <v>1426</v>
      </c>
      <c r="AC401">
        <v>41</v>
      </c>
    </row>
    <row r="402" spans="1:29" x14ac:dyDescent="0.2">
      <c r="A402" t="s">
        <v>1516</v>
      </c>
      <c r="B402" t="s">
        <v>1517</v>
      </c>
      <c r="C402">
        <v>37372308</v>
      </c>
      <c r="D402">
        <v>93271</v>
      </c>
      <c r="E402">
        <v>19306</v>
      </c>
      <c r="F402" t="s">
        <v>1462</v>
      </c>
      <c r="G402">
        <v>3</v>
      </c>
      <c r="H402" s="3" t="s">
        <v>2067</v>
      </c>
      <c r="I402" s="3" t="s">
        <v>838</v>
      </c>
      <c r="K402" t="s">
        <v>1518</v>
      </c>
      <c r="L402" t="s">
        <v>176</v>
      </c>
      <c r="M402" t="s">
        <v>1436</v>
      </c>
      <c r="P402" t="s">
        <v>858</v>
      </c>
      <c r="R402" t="s">
        <v>85</v>
      </c>
      <c r="W402" t="s">
        <v>888</v>
      </c>
      <c r="X402" t="s">
        <v>837</v>
      </c>
      <c r="AA402" t="s">
        <v>929</v>
      </c>
      <c r="AB402" t="s">
        <v>1426</v>
      </c>
      <c r="AC402">
        <v>41</v>
      </c>
    </row>
    <row r="403" spans="1:29" x14ac:dyDescent="0.2">
      <c r="A403" t="s">
        <v>1519</v>
      </c>
      <c r="B403" t="s">
        <v>1520</v>
      </c>
      <c r="C403">
        <v>823309</v>
      </c>
      <c r="D403">
        <v>47774</v>
      </c>
      <c r="E403">
        <v>491</v>
      </c>
      <c r="F403" t="s">
        <v>1481</v>
      </c>
      <c r="G403">
        <v>1</v>
      </c>
      <c r="H403" s="3" t="s">
        <v>2068</v>
      </c>
      <c r="J403" s="3" t="s">
        <v>2084</v>
      </c>
      <c r="K403" t="s">
        <v>1521</v>
      </c>
      <c r="L403" t="s">
        <v>176</v>
      </c>
      <c r="M403" t="s">
        <v>1436</v>
      </c>
      <c r="N403" t="s">
        <v>1424</v>
      </c>
      <c r="P403" t="s">
        <v>1427</v>
      </c>
      <c r="R403" t="s">
        <v>85</v>
      </c>
      <c r="W403" t="s">
        <v>862</v>
      </c>
      <c r="X403" t="s">
        <v>837</v>
      </c>
      <c r="AA403" t="s">
        <v>1035</v>
      </c>
      <c r="AB403" t="s">
        <v>1426</v>
      </c>
      <c r="AC403">
        <v>43</v>
      </c>
    </row>
    <row r="404" spans="1:29" x14ac:dyDescent="0.2">
      <c r="A404" t="s">
        <v>1522</v>
      </c>
      <c r="B404" t="s">
        <v>1523</v>
      </c>
      <c r="C404">
        <v>106911</v>
      </c>
      <c r="D404">
        <v>4033</v>
      </c>
      <c r="E404">
        <v>95</v>
      </c>
      <c r="F404" t="s">
        <v>1431</v>
      </c>
      <c r="G404">
        <v>2</v>
      </c>
      <c r="H404" s="3" t="s">
        <v>2068</v>
      </c>
      <c r="J404" s="3" t="s">
        <v>2084</v>
      </c>
      <c r="K404" t="s">
        <v>1524</v>
      </c>
      <c r="L404" t="s">
        <v>176</v>
      </c>
      <c r="M404" t="s">
        <v>1436</v>
      </c>
      <c r="N404" t="s">
        <v>1424</v>
      </c>
      <c r="P404" t="s">
        <v>1427</v>
      </c>
      <c r="R404" t="s">
        <v>85</v>
      </c>
      <c r="W404" t="s">
        <v>955</v>
      </c>
      <c r="X404" t="s">
        <v>837</v>
      </c>
      <c r="AA404" t="s">
        <v>1009</v>
      </c>
      <c r="AB404" t="s">
        <v>1426</v>
      </c>
      <c r="AC404">
        <v>43</v>
      </c>
    </row>
    <row r="405" spans="1:29" x14ac:dyDescent="0.2">
      <c r="A405" t="s">
        <v>1525</v>
      </c>
      <c r="B405" t="s">
        <v>1526</v>
      </c>
      <c r="C405">
        <v>182577</v>
      </c>
      <c r="D405">
        <v>3870</v>
      </c>
      <c r="E405">
        <v>52</v>
      </c>
      <c r="F405" t="s">
        <v>1528</v>
      </c>
      <c r="G405">
        <v>3</v>
      </c>
      <c r="H405" s="3" t="s">
        <v>2068</v>
      </c>
      <c r="J405" s="3" t="s">
        <v>2084</v>
      </c>
      <c r="K405" t="s">
        <v>1527</v>
      </c>
      <c r="L405" t="s">
        <v>176</v>
      </c>
      <c r="M405" t="s">
        <v>1436</v>
      </c>
      <c r="N405" t="s">
        <v>1424</v>
      </c>
      <c r="P405" t="s">
        <v>1427</v>
      </c>
      <c r="R405" t="s">
        <v>85</v>
      </c>
      <c r="W405" t="s">
        <v>903</v>
      </c>
      <c r="X405" t="s">
        <v>837</v>
      </c>
      <c r="AA405" t="s">
        <v>1054</v>
      </c>
      <c r="AB405" t="s">
        <v>1426</v>
      </c>
      <c r="AC405">
        <v>43</v>
      </c>
    </row>
    <row r="406" spans="1:29" x14ac:dyDescent="0.2">
      <c r="A406" t="s">
        <v>1529</v>
      </c>
      <c r="B406" t="s">
        <v>1530</v>
      </c>
      <c r="C406">
        <v>15055231</v>
      </c>
      <c r="D406">
        <v>419974</v>
      </c>
      <c r="E406">
        <v>5671</v>
      </c>
      <c r="F406" t="s">
        <v>1481</v>
      </c>
      <c r="G406">
        <v>1</v>
      </c>
      <c r="H406" s="3" t="s">
        <v>2067</v>
      </c>
      <c r="I406" s="3" t="s">
        <v>838</v>
      </c>
      <c r="K406" t="s">
        <v>1531</v>
      </c>
      <c r="L406" t="s">
        <v>176</v>
      </c>
      <c r="M406" t="s">
        <v>1436</v>
      </c>
      <c r="P406" t="s">
        <v>1427</v>
      </c>
      <c r="R406" t="s">
        <v>85</v>
      </c>
      <c r="W406" t="s">
        <v>856</v>
      </c>
      <c r="X406" t="s">
        <v>837</v>
      </c>
      <c r="AA406" t="s">
        <v>1060</v>
      </c>
      <c r="AB406" t="s">
        <v>1426</v>
      </c>
      <c r="AC406">
        <v>43</v>
      </c>
    </row>
    <row r="407" spans="1:29" x14ac:dyDescent="0.2">
      <c r="A407" t="s">
        <v>1532</v>
      </c>
      <c r="B407" t="s">
        <v>1533</v>
      </c>
      <c r="C407">
        <v>11141990</v>
      </c>
      <c r="D407">
        <v>2362355</v>
      </c>
      <c r="E407">
        <v>4099</v>
      </c>
      <c r="F407" t="s">
        <v>1431</v>
      </c>
      <c r="G407">
        <v>2</v>
      </c>
      <c r="H407" s="3" t="s">
        <v>2067</v>
      </c>
      <c r="I407" s="3" t="s">
        <v>838</v>
      </c>
      <c r="K407" t="s">
        <v>1534</v>
      </c>
      <c r="L407" t="s">
        <v>176</v>
      </c>
      <c r="M407" t="s">
        <v>1436</v>
      </c>
      <c r="P407" t="s">
        <v>1427</v>
      </c>
      <c r="R407" t="s">
        <v>85</v>
      </c>
      <c r="W407" t="s">
        <v>896</v>
      </c>
      <c r="X407" t="s">
        <v>837</v>
      </c>
      <c r="AA407" t="s">
        <v>1112</v>
      </c>
      <c r="AB407" t="s">
        <v>1426</v>
      </c>
      <c r="AC407">
        <v>43</v>
      </c>
    </row>
    <row r="408" spans="1:29" x14ac:dyDescent="0.2">
      <c r="A408" t="s">
        <v>1535</v>
      </c>
      <c r="B408" t="s">
        <v>1536</v>
      </c>
      <c r="C408">
        <v>8085061</v>
      </c>
      <c r="D408">
        <v>5473214</v>
      </c>
      <c r="E408">
        <v>1375</v>
      </c>
      <c r="F408" t="s">
        <v>1528</v>
      </c>
      <c r="G408">
        <v>3</v>
      </c>
      <c r="H408" s="3" t="s">
        <v>2067</v>
      </c>
      <c r="I408" s="3" t="s">
        <v>838</v>
      </c>
      <c r="K408" t="s">
        <v>1537</v>
      </c>
      <c r="L408" t="s">
        <v>176</v>
      </c>
      <c r="M408" t="s">
        <v>1436</v>
      </c>
      <c r="P408" t="s">
        <v>1427</v>
      </c>
      <c r="R408" t="s">
        <v>85</v>
      </c>
      <c r="W408" t="s">
        <v>862</v>
      </c>
      <c r="X408" t="s">
        <v>837</v>
      </c>
      <c r="AA408" t="s">
        <v>1003</v>
      </c>
      <c r="AB408" t="s">
        <v>1426</v>
      </c>
      <c r="AC408">
        <v>43</v>
      </c>
    </row>
    <row r="409" spans="1:29" x14ac:dyDescent="0.2">
      <c r="A409" t="s">
        <v>1538</v>
      </c>
      <c r="B409" t="s">
        <v>1539</v>
      </c>
      <c r="C409">
        <v>7898840</v>
      </c>
      <c r="D409">
        <v>93702</v>
      </c>
      <c r="E409">
        <v>4647</v>
      </c>
      <c r="F409" t="s">
        <v>1481</v>
      </c>
      <c r="G409">
        <v>1</v>
      </c>
      <c r="H409" s="3" t="s">
        <v>2067</v>
      </c>
      <c r="I409" s="3" t="s">
        <v>838</v>
      </c>
      <c r="K409" t="s">
        <v>1540</v>
      </c>
      <c r="L409" t="s">
        <v>176</v>
      </c>
      <c r="M409" t="s">
        <v>1436</v>
      </c>
      <c r="P409" t="s">
        <v>858</v>
      </c>
      <c r="R409" t="s">
        <v>85</v>
      </c>
      <c r="W409" t="s">
        <v>848</v>
      </c>
      <c r="X409" t="s">
        <v>837</v>
      </c>
      <c r="AA409" t="s">
        <v>1064</v>
      </c>
      <c r="AB409" t="s">
        <v>1426</v>
      </c>
      <c r="AC409">
        <v>43</v>
      </c>
    </row>
    <row r="410" spans="1:29" x14ac:dyDescent="0.2">
      <c r="A410" t="s">
        <v>1541</v>
      </c>
      <c r="B410" t="s">
        <v>1542</v>
      </c>
      <c r="C410">
        <v>14871045</v>
      </c>
      <c r="D410">
        <v>745165</v>
      </c>
      <c r="E410">
        <v>19802</v>
      </c>
      <c r="F410" t="s">
        <v>1431</v>
      </c>
      <c r="G410">
        <v>2</v>
      </c>
      <c r="H410" s="3" t="s">
        <v>2067</v>
      </c>
      <c r="I410" s="3" t="s">
        <v>838</v>
      </c>
      <c r="K410" t="s">
        <v>1543</v>
      </c>
      <c r="L410" t="s">
        <v>176</v>
      </c>
      <c r="M410" t="s">
        <v>1436</v>
      </c>
      <c r="P410" t="s">
        <v>858</v>
      </c>
      <c r="R410" t="s">
        <v>85</v>
      </c>
      <c r="W410" t="s">
        <v>996</v>
      </c>
      <c r="X410" t="s">
        <v>837</v>
      </c>
      <c r="AA410" t="s">
        <v>1102</v>
      </c>
      <c r="AB410" t="s">
        <v>1426</v>
      </c>
      <c r="AC410">
        <v>43</v>
      </c>
    </row>
    <row r="411" spans="1:29" x14ac:dyDescent="0.2">
      <c r="A411" t="s">
        <v>1544</v>
      </c>
      <c r="B411" t="s">
        <v>1545</v>
      </c>
      <c r="C411">
        <v>12589845</v>
      </c>
      <c r="D411">
        <v>27019</v>
      </c>
      <c r="E411">
        <v>4776</v>
      </c>
      <c r="F411" t="s">
        <v>1528</v>
      </c>
      <c r="G411">
        <v>3</v>
      </c>
      <c r="H411" s="3" t="s">
        <v>2067</v>
      </c>
      <c r="I411" s="3" t="s">
        <v>838</v>
      </c>
      <c r="K411" t="s">
        <v>1546</v>
      </c>
      <c r="L411" t="s">
        <v>176</v>
      </c>
      <c r="M411" t="s">
        <v>1436</v>
      </c>
      <c r="P411" t="s">
        <v>858</v>
      </c>
      <c r="R411" t="s">
        <v>85</v>
      </c>
      <c r="W411" t="s">
        <v>955</v>
      </c>
      <c r="X411" t="s">
        <v>837</v>
      </c>
      <c r="AA411" t="s">
        <v>968</v>
      </c>
      <c r="AB411" t="s">
        <v>1426</v>
      </c>
      <c r="AC411">
        <v>43</v>
      </c>
    </row>
    <row r="412" spans="1:29" x14ac:dyDescent="0.2">
      <c r="A412" t="s">
        <v>1547</v>
      </c>
      <c r="B412" t="s">
        <v>1548</v>
      </c>
      <c r="C412">
        <v>12962159</v>
      </c>
      <c r="D412">
        <v>1514875</v>
      </c>
      <c r="E412">
        <v>4291</v>
      </c>
      <c r="F412" t="s">
        <v>1481</v>
      </c>
      <c r="G412">
        <v>1</v>
      </c>
      <c r="H412" s="3" t="s">
        <v>2067</v>
      </c>
      <c r="I412" s="3" t="s">
        <v>2081</v>
      </c>
      <c r="K412" t="s">
        <v>1549</v>
      </c>
      <c r="L412" t="s">
        <v>176</v>
      </c>
      <c r="M412" t="s">
        <v>1436</v>
      </c>
      <c r="P412" t="s">
        <v>1427</v>
      </c>
      <c r="R412" t="s">
        <v>85</v>
      </c>
      <c r="W412" t="s">
        <v>907</v>
      </c>
      <c r="X412" t="s">
        <v>837</v>
      </c>
      <c r="AA412" t="s">
        <v>872</v>
      </c>
      <c r="AB412" t="s">
        <v>1426</v>
      </c>
      <c r="AC412">
        <v>43</v>
      </c>
    </row>
    <row r="413" spans="1:29" x14ac:dyDescent="0.2">
      <c r="A413" t="s">
        <v>1550</v>
      </c>
      <c r="B413" t="s">
        <v>1551</v>
      </c>
      <c r="C413">
        <v>11542222</v>
      </c>
      <c r="D413">
        <v>1741506</v>
      </c>
      <c r="E413">
        <v>3950</v>
      </c>
      <c r="F413" t="s">
        <v>1431</v>
      </c>
      <c r="G413">
        <v>2</v>
      </c>
      <c r="H413" s="3" t="s">
        <v>2067</v>
      </c>
      <c r="I413" s="3" t="s">
        <v>2081</v>
      </c>
      <c r="K413" t="s">
        <v>1552</v>
      </c>
      <c r="L413" t="s">
        <v>176</v>
      </c>
      <c r="M413" t="s">
        <v>1436</v>
      </c>
      <c r="P413" t="s">
        <v>1427</v>
      </c>
      <c r="R413" t="s">
        <v>85</v>
      </c>
      <c r="W413" t="s">
        <v>903</v>
      </c>
      <c r="X413" t="s">
        <v>837</v>
      </c>
      <c r="AA413" t="s">
        <v>946</v>
      </c>
      <c r="AB413" t="s">
        <v>1426</v>
      </c>
      <c r="AC413">
        <v>43</v>
      </c>
    </row>
    <row r="414" spans="1:29" x14ac:dyDescent="0.2">
      <c r="A414" t="s">
        <v>1553</v>
      </c>
      <c r="B414" t="s">
        <v>1554</v>
      </c>
      <c r="C414">
        <v>2032429</v>
      </c>
      <c r="D414">
        <v>35071</v>
      </c>
      <c r="E414">
        <v>1137</v>
      </c>
      <c r="F414" t="s">
        <v>1528</v>
      </c>
      <c r="G414">
        <v>3</v>
      </c>
      <c r="H414" s="3" t="s">
        <v>2067</v>
      </c>
      <c r="I414" s="3" t="s">
        <v>2081</v>
      </c>
      <c r="K414" t="s">
        <v>1555</v>
      </c>
      <c r="L414" t="s">
        <v>176</v>
      </c>
      <c r="M414" t="s">
        <v>1436</v>
      </c>
      <c r="P414" t="s">
        <v>1427</v>
      </c>
      <c r="R414" t="s">
        <v>85</v>
      </c>
      <c r="W414" t="s">
        <v>875</v>
      </c>
      <c r="X414" t="s">
        <v>837</v>
      </c>
      <c r="AA414" t="s">
        <v>1025</v>
      </c>
      <c r="AB414" t="s">
        <v>1426</v>
      </c>
      <c r="AC414">
        <v>43</v>
      </c>
    </row>
    <row r="415" spans="1:29" x14ac:dyDescent="0.2">
      <c r="A415" t="s">
        <v>1556</v>
      </c>
      <c r="B415" t="s">
        <v>1557</v>
      </c>
      <c r="C415">
        <v>6494619</v>
      </c>
      <c r="D415">
        <v>34145</v>
      </c>
      <c r="E415">
        <v>2588</v>
      </c>
      <c r="F415" t="s">
        <v>1481</v>
      </c>
      <c r="G415">
        <v>1</v>
      </c>
      <c r="H415" s="3" t="s">
        <v>2067</v>
      </c>
      <c r="I415" s="3" t="s">
        <v>2081</v>
      </c>
      <c r="K415" t="s">
        <v>1558</v>
      </c>
      <c r="L415" t="s">
        <v>176</v>
      </c>
      <c r="M415" t="s">
        <v>1436</v>
      </c>
      <c r="P415" t="s">
        <v>858</v>
      </c>
      <c r="R415" t="s">
        <v>85</v>
      </c>
      <c r="W415" t="s">
        <v>856</v>
      </c>
      <c r="X415" t="s">
        <v>837</v>
      </c>
      <c r="AA415" t="s">
        <v>908</v>
      </c>
      <c r="AB415" t="s">
        <v>1426</v>
      </c>
      <c r="AC415">
        <v>43</v>
      </c>
    </row>
    <row r="416" spans="1:29" x14ac:dyDescent="0.2">
      <c r="A416" t="s">
        <v>1559</v>
      </c>
      <c r="B416" t="s">
        <v>1560</v>
      </c>
      <c r="C416">
        <v>5946562</v>
      </c>
      <c r="D416">
        <v>65853</v>
      </c>
      <c r="E416">
        <v>2731</v>
      </c>
      <c r="F416" t="s">
        <v>1431</v>
      </c>
      <c r="G416">
        <v>2</v>
      </c>
      <c r="H416" s="3" t="s">
        <v>2067</v>
      </c>
      <c r="I416" s="3" t="s">
        <v>2081</v>
      </c>
      <c r="K416" t="s">
        <v>1561</v>
      </c>
      <c r="L416" t="s">
        <v>176</v>
      </c>
      <c r="M416" t="s">
        <v>1436</v>
      </c>
      <c r="P416" t="s">
        <v>858</v>
      </c>
      <c r="R416" t="s">
        <v>85</v>
      </c>
      <c r="W416" t="s">
        <v>875</v>
      </c>
      <c r="X416" t="s">
        <v>837</v>
      </c>
      <c r="AA416" t="s">
        <v>1093</v>
      </c>
      <c r="AB416" t="s">
        <v>1426</v>
      </c>
      <c r="AC416">
        <v>43</v>
      </c>
    </row>
    <row r="417" spans="1:29" x14ac:dyDescent="0.2">
      <c r="A417" t="s">
        <v>1562</v>
      </c>
      <c r="B417" t="s">
        <v>1563</v>
      </c>
      <c r="C417">
        <v>14036329</v>
      </c>
      <c r="D417">
        <v>82537</v>
      </c>
      <c r="E417">
        <v>6192</v>
      </c>
      <c r="F417" t="s">
        <v>1528</v>
      </c>
      <c r="G417">
        <v>3</v>
      </c>
      <c r="H417" s="3" t="s">
        <v>2067</v>
      </c>
      <c r="I417" s="3" t="s">
        <v>2081</v>
      </c>
      <c r="K417" t="s">
        <v>1564</v>
      </c>
      <c r="L417" t="s">
        <v>176</v>
      </c>
      <c r="M417" t="s">
        <v>1436</v>
      </c>
      <c r="P417" t="s">
        <v>858</v>
      </c>
      <c r="R417" t="s">
        <v>85</v>
      </c>
      <c r="W417" t="s">
        <v>848</v>
      </c>
      <c r="X417" t="s">
        <v>837</v>
      </c>
      <c r="AA417" t="s">
        <v>993</v>
      </c>
      <c r="AB417" t="s">
        <v>1426</v>
      </c>
      <c r="AC417">
        <v>43</v>
      </c>
    </row>
    <row r="418" spans="1:29" x14ac:dyDescent="0.2">
      <c r="A418" t="s">
        <v>1565</v>
      </c>
      <c r="B418" t="s">
        <v>1566</v>
      </c>
      <c r="C418">
        <v>3783889</v>
      </c>
      <c r="D418">
        <v>76982</v>
      </c>
      <c r="E418">
        <v>1640</v>
      </c>
      <c r="F418" t="s">
        <v>1481</v>
      </c>
      <c r="G418">
        <v>1</v>
      </c>
      <c r="H418" s="3" t="s">
        <v>2067</v>
      </c>
      <c r="I418" s="3" t="s">
        <v>2082</v>
      </c>
      <c r="K418" t="s">
        <v>1567</v>
      </c>
      <c r="L418" t="s">
        <v>176</v>
      </c>
      <c r="M418" t="s">
        <v>1436</v>
      </c>
      <c r="P418" t="s">
        <v>1427</v>
      </c>
      <c r="R418" t="s">
        <v>85</v>
      </c>
      <c r="W418" t="s">
        <v>866</v>
      </c>
      <c r="X418" t="s">
        <v>837</v>
      </c>
      <c r="AA418" t="s">
        <v>1071</v>
      </c>
      <c r="AB418" t="s">
        <v>1426</v>
      </c>
      <c r="AC418">
        <v>43</v>
      </c>
    </row>
    <row r="419" spans="1:29" x14ac:dyDescent="0.2">
      <c r="A419" t="s">
        <v>1568</v>
      </c>
      <c r="B419" t="s">
        <v>1569</v>
      </c>
      <c r="C419">
        <v>340018</v>
      </c>
      <c r="D419">
        <v>12101</v>
      </c>
      <c r="E419">
        <v>152</v>
      </c>
      <c r="F419" t="s">
        <v>1431</v>
      </c>
      <c r="G419">
        <v>2</v>
      </c>
      <c r="H419" s="3" t="s">
        <v>2067</v>
      </c>
      <c r="I419" s="3" t="s">
        <v>2082</v>
      </c>
      <c r="K419" t="s">
        <v>1570</v>
      </c>
      <c r="L419" t="s">
        <v>176</v>
      </c>
      <c r="M419" t="s">
        <v>1436</v>
      </c>
      <c r="P419" t="s">
        <v>1427</v>
      </c>
      <c r="R419" t="s">
        <v>85</v>
      </c>
      <c r="W419" t="s">
        <v>903</v>
      </c>
      <c r="X419" t="s">
        <v>837</v>
      </c>
      <c r="AA419" t="s">
        <v>978</v>
      </c>
      <c r="AB419" t="s">
        <v>1426</v>
      </c>
      <c r="AC419">
        <v>43</v>
      </c>
    </row>
    <row r="420" spans="1:29" x14ac:dyDescent="0.2">
      <c r="A420" t="s">
        <v>1571</v>
      </c>
      <c r="B420" t="s">
        <v>1572</v>
      </c>
      <c r="C420">
        <v>7366167</v>
      </c>
      <c r="D420">
        <v>430224</v>
      </c>
      <c r="E420">
        <v>2779</v>
      </c>
      <c r="F420" t="s">
        <v>1528</v>
      </c>
      <c r="G420">
        <v>3</v>
      </c>
      <c r="H420" s="3" t="s">
        <v>2067</v>
      </c>
      <c r="I420" s="3" t="s">
        <v>2082</v>
      </c>
      <c r="K420" t="s">
        <v>1573</v>
      </c>
      <c r="L420" t="s">
        <v>176</v>
      </c>
      <c r="M420" t="s">
        <v>1436</v>
      </c>
      <c r="P420" t="s">
        <v>1427</v>
      </c>
      <c r="R420" t="s">
        <v>85</v>
      </c>
      <c r="W420" t="s">
        <v>1237</v>
      </c>
      <c r="X420" t="s">
        <v>837</v>
      </c>
      <c r="AA420" t="s">
        <v>1044</v>
      </c>
      <c r="AB420" t="s">
        <v>1426</v>
      </c>
      <c r="AC420">
        <v>43</v>
      </c>
    </row>
    <row r="421" spans="1:29" x14ac:dyDescent="0.2">
      <c r="A421" t="s">
        <v>1574</v>
      </c>
      <c r="B421" t="s">
        <v>1575</v>
      </c>
      <c r="C421">
        <v>12393929</v>
      </c>
      <c r="D421">
        <v>5786366</v>
      </c>
      <c r="E421">
        <v>3211</v>
      </c>
      <c r="F421" t="s">
        <v>1481</v>
      </c>
      <c r="G421">
        <v>1</v>
      </c>
      <c r="H421" s="3" t="s">
        <v>2067</v>
      </c>
      <c r="I421" s="3" t="s">
        <v>2082</v>
      </c>
      <c r="K421" t="s">
        <v>1576</v>
      </c>
      <c r="L421" t="s">
        <v>176</v>
      </c>
      <c r="M421" t="s">
        <v>1436</v>
      </c>
      <c r="P421" t="s">
        <v>858</v>
      </c>
      <c r="R421" t="s">
        <v>85</v>
      </c>
      <c r="W421" t="s">
        <v>871</v>
      </c>
      <c r="X421" t="s">
        <v>837</v>
      </c>
      <c r="AA421" t="s">
        <v>1082</v>
      </c>
      <c r="AB421" t="s">
        <v>1426</v>
      </c>
      <c r="AC421">
        <v>43</v>
      </c>
    </row>
    <row r="422" spans="1:29" x14ac:dyDescent="0.2">
      <c r="A422" t="s">
        <v>1577</v>
      </c>
      <c r="B422" t="s">
        <v>1578</v>
      </c>
      <c r="C422">
        <v>4684540</v>
      </c>
      <c r="D422">
        <v>4206873</v>
      </c>
      <c r="E422">
        <v>657</v>
      </c>
      <c r="F422" t="s">
        <v>1431</v>
      </c>
      <c r="G422">
        <v>2</v>
      </c>
      <c r="H422" s="3" t="s">
        <v>2067</v>
      </c>
      <c r="I422" s="3" t="s">
        <v>2082</v>
      </c>
      <c r="K422" t="s">
        <v>1579</v>
      </c>
      <c r="L422" t="s">
        <v>176</v>
      </c>
      <c r="M422" t="s">
        <v>1436</v>
      </c>
      <c r="P422" t="s">
        <v>858</v>
      </c>
      <c r="R422" t="s">
        <v>85</v>
      </c>
      <c r="W422" t="s">
        <v>856</v>
      </c>
      <c r="X422" t="s">
        <v>837</v>
      </c>
      <c r="AA422" t="s">
        <v>936</v>
      </c>
      <c r="AB422" t="s">
        <v>1426</v>
      </c>
      <c r="AC422">
        <v>43</v>
      </c>
    </row>
    <row r="423" spans="1:29" x14ac:dyDescent="0.2">
      <c r="A423" t="s">
        <v>1580</v>
      </c>
      <c r="B423" t="s">
        <v>1581</v>
      </c>
      <c r="C423">
        <v>8286703</v>
      </c>
      <c r="D423">
        <v>3857144</v>
      </c>
      <c r="E423">
        <v>2475</v>
      </c>
      <c r="F423" t="s">
        <v>1528</v>
      </c>
      <c r="G423">
        <v>3</v>
      </c>
      <c r="H423" s="3" t="s">
        <v>2067</v>
      </c>
      <c r="I423" s="3" t="s">
        <v>2082</v>
      </c>
      <c r="K423" t="s">
        <v>1582</v>
      </c>
      <c r="L423" t="s">
        <v>176</v>
      </c>
      <c r="M423" t="s">
        <v>1436</v>
      </c>
      <c r="P423" t="s">
        <v>858</v>
      </c>
      <c r="R423" t="s">
        <v>85</v>
      </c>
      <c r="W423" t="s">
        <v>35</v>
      </c>
      <c r="X423" t="s">
        <v>837</v>
      </c>
      <c r="AA423" t="s">
        <v>1019</v>
      </c>
      <c r="AB423" t="s">
        <v>1426</v>
      </c>
      <c r="AC423">
        <v>43</v>
      </c>
    </row>
    <row r="424" spans="1:29" x14ac:dyDescent="0.2">
      <c r="A424" t="s">
        <v>1583</v>
      </c>
      <c r="B424" t="s">
        <v>1584</v>
      </c>
      <c r="C424">
        <v>1699160</v>
      </c>
      <c r="D424">
        <v>35510</v>
      </c>
      <c r="E424">
        <v>884</v>
      </c>
      <c r="F424" t="s">
        <v>1431</v>
      </c>
      <c r="G424">
        <v>1</v>
      </c>
      <c r="H424" s="3" t="s">
        <v>2068</v>
      </c>
      <c r="J424" s="3" t="s">
        <v>2084</v>
      </c>
      <c r="K424" t="s">
        <v>1585</v>
      </c>
      <c r="L424" t="s">
        <v>176</v>
      </c>
      <c r="M424" t="s">
        <v>1436</v>
      </c>
      <c r="N424" t="s">
        <v>1424</v>
      </c>
      <c r="P424" t="s">
        <v>1427</v>
      </c>
      <c r="R424" t="s">
        <v>85</v>
      </c>
      <c r="W424" t="s">
        <v>1586</v>
      </c>
      <c r="X424" t="s">
        <v>837</v>
      </c>
      <c r="AA424" t="s">
        <v>1012</v>
      </c>
      <c r="AB424" t="s">
        <v>1426</v>
      </c>
      <c r="AC424">
        <v>44</v>
      </c>
    </row>
    <row r="425" spans="1:29" x14ac:dyDescent="0.2">
      <c r="A425" t="s">
        <v>1587</v>
      </c>
      <c r="B425" t="s">
        <v>1588</v>
      </c>
      <c r="C425">
        <v>216900</v>
      </c>
      <c r="D425">
        <v>3918</v>
      </c>
      <c r="E425">
        <v>90</v>
      </c>
      <c r="F425" t="s">
        <v>1435</v>
      </c>
      <c r="G425">
        <v>2</v>
      </c>
      <c r="H425" s="3" t="s">
        <v>2068</v>
      </c>
      <c r="J425" s="3" t="s">
        <v>2084</v>
      </c>
      <c r="K425" t="s">
        <v>1589</v>
      </c>
      <c r="L425" t="s">
        <v>176</v>
      </c>
      <c r="M425" t="s">
        <v>1436</v>
      </c>
      <c r="N425" t="s">
        <v>1424</v>
      </c>
      <c r="P425" t="s">
        <v>1427</v>
      </c>
      <c r="R425" t="s">
        <v>85</v>
      </c>
      <c r="W425" t="s">
        <v>1312</v>
      </c>
      <c r="X425" t="s">
        <v>837</v>
      </c>
      <c r="AA425" t="s">
        <v>1057</v>
      </c>
      <c r="AB425" t="s">
        <v>1426</v>
      </c>
      <c r="AC425">
        <v>44</v>
      </c>
    </row>
    <row r="426" spans="1:29" x14ac:dyDescent="0.2">
      <c r="A426" t="s">
        <v>1590</v>
      </c>
      <c r="B426" t="s">
        <v>1591</v>
      </c>
      <c r="C426">
        <v>534553</v>
      </c>
      <c r="D426">
        <v>33159</v>
      </c>
      <c r="E426">
        <v>400</v>
      </c>
      <c r="F426" t="s">
        <v>1593</v>
      </c>
      <c r="G426">
        <v>3</v>
      </c>
      <c r="H426" s="3" t="s">
        <v>2068</v>
      </c>
      <c r="J426" s="3" t="s">
        <v>2084</v>
      </c>
      <c r="K426" t="s">
        <v>1592</v>
      </c>
      <c r="L426" t="s">
        <v>176</v>
      </c>
      <c r="M426" t="s">
        <v>1436</v>
      </c>
      <c r="N426" t="s">
        <v>1424</v>
      </c>
      <c r="P426" t="s">
        <v>1427</v>
      </c>
      <c r="R426" t="s">
        <v>85</v>
      </c>
      <c r="W426" t="s">
        <v>996</v>
      </c>
      <c r="X426" t="s">
        <v>837</v>
      </c>
      <c r="AA426" t="s">
        <v>987</v>
      </c>
      <c r="AB426" t="s">
        <v>1426</v>
      </c>
      <c r="AC426">
        <v>44</v>
      </c>
    </row>
    <row r="427" spans="1:29" x14ac:dyDescent="0.2">
      <c r="A427" t="s">
        <v>1594</v>
      </c>
      <c r="B427" t="s">
        <v>1595</v>
      </c>
      <c r="C427">
        <v>9990517</v>
      </c>
      <c r="D427">
        <v>22958</v>
      </c>
      <c r="E427">
        <v>4461</v>
      </c>
      <c r="F427" t="s">
        <v>1431</v>
      </c>
      <c r="G427">
        <v>1</v>
      </c>
      <c r="H427" s="3" t="s">
        <v>2067</v>
      </c>
      <c r="I427" s="3" t="s">
        <v>838</v>
      </c>
      <c r="K427" t="s">
        <v>1596</v>
      </c>
      <c r="L427" t="s">
        <v>176</v>
      </c>
      <c r="M427" t="s">
        <v>1436</v>
      </c>
      <c r="P427" t="s">
        <v>858</v>
      </c>
      <c r="R427" t="s">
        <v>85</v>
      </c>
      <c r="W427" t="s">
        <v>964</v>
      </c>
      <c r="X427" t="s">
        <v>837</v>
      </c>
      <c r="AA427" t="s">
        <v>956</v>
      </c>
      <c r="AB427" t="s">
        <v>1426</v>
      </c>
      <c r="AC427">
        <v>44</v>
      </c>
    </row>
    <row r="428" spans="1:29" x14ac:dyDescent="0.2">
      <c r="A428" t="s">
        <v>1597</v>
      </c>
      <c r="B428" t="s">
        <v>1598</v>
      </c>
      <c r="C428">
        <v>9112696</v>
      </c>
      <c r="D428">
        <v>64692</v>
      </c>
      <c r="E428">
        <v>4110</v>
      </c>
      <c r="F428" t="s">
        <v>1435</v>
      </c>
      <c r="G428">
        <v>2</v>
      </c>
      <c r="H428" s="3" t="s">
        <v>2067</v>
      </c>
      <c r="I428" s="3" t="s">
        <v>838</v>
      </c>
      <c r="K428" t="s">
        <v>1599</v>
      </c>
      <c r="L428" t="s">
        <v>176</v>
      </c>
      <c r="M428" t="s">
        <v>1436</v>
      </c>
      <c r="P428" t="s">
        <v>858</v>
      </c>
      <c r="R428" t="s">
        <v>85</v>
      </c>
      <c r="W428" t="s">
        <v>996</v>
      </c>
      <c r="X428" t="s">
        <v>837</v>
      </c>
      <c r="AA428" t="s">
        <v>1146</v>
      </c>
      <c r="AB428" t="s">
        <v>1426</v>
      </c>
      <c r="AC428">
        <v>44</v>
      </c>
    </row>
    <row r="429" spans="1:29" x14ac:dyDescent="0.2">
      <c r="A429" t="s">
        <v>1600</v>
      </c>
      <c r="B429" t="s">
        <v>1601</v>
      </c>
      <c r="C429">
        <v>6115086</v>
      </c>
      <c r="D429">
        <v>47876</v>
      </c>
      <c r="E429">
        <v>3369</v>
      </c>
      <c r="F429" t="s">
        <v>1593</v>
      </c>
      <c r="G429">
        <v>3</v>
      </c>
      <c r="H429" s="3" t="s">
        <v>2067</v>
      </c>
      <c r="I429" s="3" t="s">
        <v>838</v>
      </c>
      <c r="K429" t="s">
        <v>1602</v>
      </c>
      <c r="L429" t="s">
        <v>176</v>
      </c>
      <c r="M429" t="s">
        <v>1436</v>
      </c>
      <c r="P429" t="s">
        <v>858</v>
      </c>
      <c r="R429" t="s">
        <v>85</v>
      </c>
      <c r="W429" t="s">
        <v>896</v>
      </c>
      <c r="X429" t="s">
        <v>837</v>
      </c>
      <c r="AA429" t="s">
        <v>997</v>
      </c>
      <c r="AB429" t="s">
        <v>1426</v>
      </c>
      <c r="AC429">
        <v>44</v>
      </c>
    </row>
    <row r="430" spans="1:29" x14ac:dyDescent="0.2">
      <c r="A430" t="s">
        <v>1603</v>
      </c>
      <c r="B430" t="s">
        <v>1604</v>
      </c>
      <c r="C430">
        <v>15626923</v>
      </c>
      <c r="D430">
        <v>29668</v>
      </c>
      <c r="E430">
        <v>5952</v>
      </c>
      <c r="F430" t="s">
        <v>1431</v>
      </c>
      <c r="G430">
        <v>1</v>
      </c>
      <c r="H430" s="3" t="s">
        <v>2067</v>
      </c>
      <c r="I430" s="3" t="s">
        <v>838</v>
      </c>
      <c r="K430" t="s">
        <v>1605</v>
      </c>
      <c r="L430" t="s">
        <v>176</v>
      </c>
      <c r="M430" t="s">
        <v>1436</v>
      </c>
      <c r="P430" t="s">
        <v>1449</v>
      </c>
      <c r="R430" t="s">
        <v>85</v>
      </c>
      <c r="W430" t="s">
        <v>1034</v>
      </c>
      <c r="X430" t="s">
        <v>837</v>
      </c>
      <c r="AA430" t="s">
        <v>984</v>
      </c>
      <c r="AB430" t="s">
        <v>1426</v>
      </c>
      <c r="AC430">
        <v>44</v>
      </c>
    </row>
    <row r="431" spans="1:29" x14ac:dyDescent="0.2">
      <c r="A431" t="s">
        <v>1606</v>
      </c>
      <c r="B431" t="s">
        <v>1607</v>
      </c>
      <c r="C431">
        <v>8015533</v>
      </c>
      <c r="D431">
        <v>5967646</v>
      </c>
      <c r="E431">
        <v>4003</v>
      </c>
      <c r="F431" t="s">
        <v>1435</v>
      </c>
      <c r="G431">
        <v>2</v>
      </c>
      <c r="H431" s="3" t="s">
        <v>2067</v>
      </c>
      <c r="I431" s="3" t="s">
        <v>838</v>
      </c>
      <c r="K431" t="s">
        <v>1608</v>
      </c>
      <c r="L431" t="s">
        <v>176</v>
      </c>
      <c r="M431" t="s">
        <v>1436</v>
      </c>
      <c r="P431" t="s">
        <v>1449</v>
      </c>
      <c r="R431" t="s">
        <v>85</v>
      </c>
      <c r="W431" t="s">
        <v>896</v>
      </c>
      <c r="X431" t="s">
        <v>837</v>
      </c>
      <c r="AA431" t="s">
        <v>1140</v>
      </c>
      <c r="AB431" t="s">
        <v>1426</v>
      </c>
      <c r="AC431">
        <v>44</v>
      </c>
    </row>
    <row r="432" spans="1:29" x14ac:dyDescent="0.2">
      <c r="A432" t="s">
        <v>1609</v>
      </c>
      <c r="B432" t="s">
        <v>1610</v>
      </c>
      <c r="C432">
        <v>6429093</v>
      </c>
      <c r="D432">
        <v>83174</v>
      </c>
      <c r="E432">
        <v>3190</v>
      </c>
      <c r="F432" t="s">
        <v>1593</v>
      </c>
      <c r="G432">
        <v>3</v>
      </c>
      <c r="H432" s="3" t="s">
        <v>2067</v>
      </c>
      <c r="I432" s="3" t="s">
        <v>838</v>
      </c>
      <c r="K432" t="s">
        <v>1611</v>
      </c>
      <c r="L432" t="s">
        <v>176</v>
      </c>
      <c r="M432" t="s">
        <v>1436</v>
      </c>
      <c r="P432" t="s">
        <v>1449</v>
      </c>
      <c r="R432" t="s">
        <v>85</v>
      </c>
      <c r="W432" t="s">
        <v>871</v>
      </c>
      <c r="X432" t="s">
        <v>837</v>
      </c>
      <c r="AA432" t="s">
        <v>1006</v>
      </c>
      <c r="AB432" t="s">
        <v>1426</v>
      </c>
      <c r="AC432">
        <v>44</v>
      </c>
    </row>
    <row r="433" spans="1:29" x14ac:dyDescent="0.2">
      <c r="A433" t="s">
        <v>1612</v>
      </c>
      <c r="B433" t="s">
        <v>1613</v>
      </c>
      <c r="C433">
        <v>7583054</v>
      </c>
      <c r="D433">
        <v>152657</v>
      </c>
      <c r="E433">
        <v>3403</v>
      </c>
      <c r="F433" t="s">
        <v>1431</v>
      </c>
      <c r="G433">
        <v>1</v>
      </c>
      <c r="H433" s="3" t="s">
        <v>2067</v>
      </c>
      <c r="I433" s="3" t="s">
        <v>2081</v>
      </c>
      <c r="K433" t="s">
        <v>1614</v>
      </c>
      <c r="L433" t="s">
        <v>176</v>
      </c>
      <c r="M433" t="s">
        <v>1436</v>
      </c>
      <c r="P433" t="s">
        <v>858</v>
      </c>
      <c r="R433" t="s">
        <v>85</v>
      </c>
      <c r="W433" t="s">
        <v>888</v>
      </c>
      <c r="X433" t="s">
        <v>837</v>
      </c>
      <c r="AA433" t="s">
        <v>1128</v>
      </c>
      <c r="AB433" t="s">
        <v>1426</v>
      </c>
      <c r="AC433">
        <v>44</v>
      </c>
    </row>
    <row r="434" spans="1:29" x14ac:dyDescent="0.2">
      <c r="A434" t="s">
        <v>1615</v>
      </c>
      <c r="B434" t="s">
        <v>1616</v>
      </c>
      <c r="C434">
        <v>242131</v>
      </c>
      <c r="D434">
        <v>24215</v>
      </c>
      <c r="E434">
        <v>232</v>
      </c>
      <c r="F434" t="s">
        <v>1435</v>
      </c>
      <c r="G434">
        <v>2</v>
      </c>
      <c r="H434" s="3" t="s">
        <v>2067</v>
      </c>
      <c r="I434" s="3" t="s">
        <v>2081</v>
      </c>
      <c r="K434" t="s">
        <v>1617</v>
      </c>
      <c r="L434" t="s">
        <v>176</v>
      </c>
      <c r="M434" t="s">
        <v>1436</v>
      </c>
      <c r="P434" t="s">
        <v>858</v>
      </c>
      <c r="R434" t="s">
        <v>85</v>
      </c>
      <c r="W434" t="s">
        <v>1586</v>
      </c>
      <c r="X434" t="s">
        <v>837</v>
      </c>
      <c r="AA434" t="s">
        <v>940</v>
      </c>
      <c r="AB434" t="s">
        <v>1426</v>
      </c>
      <c r="AC434">
        <v>44</v>
      </c>
    </row>
    <row r="435" spans="1:29" x14ac:dyDescent="0.2">
      <c r="A435" t="s">
        <v>1618</v>
      </c>
      <c r="B435" t="s">
        <v>1619</v>
      </c>
      <c r="C435">
        <v>14737609</v>
      </c>
      <c r="D435">
        <v>351867</v>
      </c>
      <c r="E435">
        <v>5185</v>
      </c>
      <c r="F435" t="s">
        <v>1593</v>
      </c>
      <c r="G435">
        <v>3</v>
      </c>
      <c r="H435" s="3" t="s">
        <v>2067</v>
      </c>
      <c r="I435" s="3" t="s">
        <v>2081</v>
      </c>
      <c r="K435" t="s">
        <v>1620</v>
      </c>
      <c r="L435" t="s">
        <v>176</v>
      </c>
      <c r="M435" t="s">
        <v>1436</v>
      </c>
      <c r="P435" t="s">
        <v>858</v>
      </c>
      <c r="R435" t="s">
        <v>85</v>
      </c>
      <c r="W435" t="s">
        <v>996</v>
      </c>
      <c r="X435" t="s">
        <v>837</v>
      </c>
      <c r="AA435" t="s">
        <v>1022</v>
      </c>
      <c r="AB435" t="s">
        <v>1426</v>
      </c>
      <c r="AC435">
        <v>44</v>
      </c>
    </row>
    <row r="436" spans="1:29" x14ac:dyDescent="0.2">
      <c r="A436" t="s">
        <v>1621</v>
      </c>
      <c r="B436" t="s">
        <v>1622</v>
      </c>
      <c r="C436">
        <v>6382770</v>
      </c>
      <c r="D436">
        <v>107173</v>
      </c>
      <c r="E436">
        <v>2483</v>
      </c>
      <c r="F436" t="s">
        <v>1431</v>
      </c>
      <c r="G436">
        <v>1</v>
      </c>
      <c r="H436" s="3" t="s">
        <v>2067</v>
      </c>
      <c r="I436" s="3" t="s">
        <v>2081</v>
      </c>
      <c r="K436" t="s">
        <v>1623</v>
      </c>
      <c r="L436" t="s">
        <v>176</v>
      </c>
      <c r="M436" t="s">
        <v>1436</v>
      </c>
      <c r="P436" t="s">
        <v>1449</v>
      </c>
      <c r="R436" t="s">
        <v>85</v>
      </c>
      <c r="W436" t="s">
        <v>977</v>
      </c>
      <c r="X436" t="s">
        <v>837</v>
      </c>
      <c r="AA436" t="s">
        <v>1137</v>
      </c>
      <c r="AB436" t="s">
        <v>1426</v>
      </c>
      <c r="AC436">
        <v>44</v>
      </c>
    </row>
    <row r="437" spans="1:29" x14ac:dyDescent="0.2">
      <c r="A437" t="s">
        <v>1624</v>
      </c>
      <c r="B437" t="s">
        <v>1625</v>
      </c>
      <c r="C437">
        <v>8066931</v>
      </c>
      <c r="D437">
        <v>1415269</v>
      </c>
      <c r="E437">
        <v>2938</v>
      </c>
      <c r="F437" t="s">
        <v>1435</v>
      </c>
      <c r="G437">
        <v>2</v>
      </c>
      <c r="H437" s="3" t="s">
        <v>2067</v>
      </c>
      <c r="I437" s="3" t="s">
        <v>2081</v>
      </c>
      <c r="K437" t="s">
        <v>1626</v>
      </c>
      <c r="L437" t="s">
        <v>176</v>
      </c>
      <c r="M437" t="s">
        <v>1436</v>
      </c>
      <c r="P437" t="s">
        <v>1449</v>
      </c>
      <c r="R437" t="s">
        <v>85</v>
      </c>
      <c r="W437" t="s">
        <v>1488</v>
      </c>
      <c r="X437" t="s">
        <v>837</v>
      </c>
      <c r="AA437" t="s">
        <v>949</v>
      </c>
      <c r="AB437" t="s">
        <v>1426</v>
      </c>
      <c r="AC437">
        <v>44</v>
      </c>
    </row>
    <row r="438" spans="1:29" x14ac:dyDescent="0.2">
      <c r="A438" t="s">
        <v>1627</v>
      </c>
      <c r="B438" t="s">
        <v>1628</v>
      </c>
      <c r="C438">
        <v>7731968</v>
      </c>
      <c r="D438">
        <v>2024630</v>
      </c>
      <c r="E438">
        <v>2402</v>
      </c>
      <c r="F438" t="s">
        <v>1593</v>
      </c>
      <c r="G438">
        <v>3</v>
      </c>
      <c r="H438" s="3" t="s">
        <v>2067</v>
      </c>
      <c r="I438" s="3" t="s">
        <v>2081</v>
      </c>
      <c r="K438" t="s">
        <v>1629</v>
      </c>
      <c r="L438" t="s">
        <v>176</v>
      </c>
      <c r="M438" t="s">
        <v>1436</v>
      </c>
      <c r="P438" t="s">
        <v>1449</v>
      </c>
      <c r="R438" t="s">
        <v>85</v>
      </c>
      <c r="W438" t="s">
        <v>856</v>
      </c>
      <c r="X438" t="s">
        <v>837</v>
      </c>
      <c r="AA438" t="s">
        <v>1028</v>
      </c>
      <c r="AB438" t="s">
        <v>1426</v>
      </c>
      <c r="AC438">
        <v>44</v>
      </c>
    </row>
    <row r="439" spans="1:29" x14ac:dyDescent="0.2">
      <c r="A439" t="s">
        <v>1630</v>
      </c>
      <c r="B439" t="s">
        <v>1631</v>
      </c>
      <c r="C439">
        <v>2051503</v>
      </c>
      <c r="D439">
        <v>112315</v>
      </c>
      <c r="E439">
        <v>850</v>
      </c>
      <c r="F439" t="s">
        <v>1431</v>
      </c>
      <c r="G439">
        <v>1</v>
      </c>
      <c r="H439" s="3" t="s">
        <v>2067</v>
      </c>
      <c r="I439" s="3" t="s">
        <v>2082</v>
      </c>
      <c r="K439" t="s">
        <v>1632</v>
      </c>
      <c r="L439" t="s">
        <v>176</v>
      </c>
      <c r="M439" t="s">
        <v>1436</v>
      </c>
      <c r="P439" t="s">
        <v>858</v>
      </c>
      <c r="R439" t="s">
        <v>85</v>
      </c>
      <c r="W439" t="s">
        <v>888</v>
      </c>
      <c r="X439" t="s">
        <v>837</v>
      </c>
      <c r="AA439" t="s">
        <v>1164</v>
      </c>
      <c r="AB439" t="s">
        <v>1426</v>
      </c>
      <c r="AC439">
        <v>44</v>
      </c>
    </row>
    <row r="440" spans="1:29" x14ac:dyDescent="0.2">
      <c r="A440" t="s">
        <v>1633</v>
      </c>
      <c r="B440" t="s">
        <v>1634</v>
      </c>
      <c r="C440">
        <v>2288743</v>
      </c>
      <c r="D440">
        <v>714927</v>
      </c>
      <c r="E440">
        <v>1010</v>
      </c>
      <c r="F440" t="s">
        <v>1435</v>
      </c>
      <c r="G440">
        <v>2</v>
      </c>
      <c r="H440" s="3" t="s">
        <v>2067</v>
      </c>
      <c r="I440" s="3" t="s">
        <v>2082</v>
      </c>
      <c r="K440" t="s">
        <v>1635</v>
      </c>
      <c r="L440" t="s">
        <v>176</v>
      </c>
      <c r="M440" t="s">
        <v>1436</v>
      </c>
      <c r="P440" t="s">
        <v>858</v>
      </c>
      <c r="R440" t="s">
        <v>85</v>
      </c>
      <c r="W440" t="s">
        <v>848</v>
      </c>
      <c r="X440" t="s">
        <v>837</v>
      </c>
      <c r="AA440" t="s">
        <v>971</v>
      </c>
      <c r="AB440" t="s">
        <v>1426</v>
      </c>
      <c r="AC440">
        <v>44</v>
      </c>
    </row>
    <row r="441" spans="1:29" x14ac:dyDescent="0.2">
      <c r="A441" t="s">
        <v>1636</v>
      </c>
      <c r="B441" t="s">
        <v>1637</v>
      </c>
      <c r="C441">
        <v>15232959</v>
      </c>
      <c r="D441">
        <v>1308701</v>
      </c>
      <c r="E441">
        <v>5089</v>
      </c>
      <c r="F441" t="s">
        <v>1593</v>
      </c>
      <c r="G441">
        <v>3</v>
      </c>
      <c r="H441" s="3" t="s">
        <v>2067</v>
      </c>
      <c r="I441" s="3" t="s">
        <v>2082</v>
      </c>
      <c r="K441" t="s">
        <v>1638</v>
      </c>
      <c r="L441" t="s">
        <v>176</v>
      </c>
      <c r="M441" t="s">
        <v>1436</v>
      </c>
      <c r="P441" t="s">
        <v>858</v>
      </c>
      <c r="R441" t="s">
        <v>85</v>
      </c>
      <c r="W441" t="s">
        <v>896</v>
      </c>
      <c r="X441" t="s">
        <v>837</v>
      </c>
      <c r="AA441" t="s">
        <v>1038</v>
      </c>
      <c r="AB441" t="s">
        <v>1426</v>
      </c>
      <c r="AC441">
        <v>44</v>
      </c>
    </row>
    <row r="442" spans="1:29" x14ac:dyDescent="0.2">
      <c r="A442" t="s">
        <v>1639</v>
      </c>
      <c r="B442" t="s">
        <v>1640</v>
      </c>
      <c r="C442">
        <v>3786809</v>
      </c>
      <c r="D442">
        <v>3098249</v>
      </c>
      <c r="E442">
        <v>693</v>
      </c>
      <c r="F442" t="s">
        <v>1431</v>
      </c>
      <c r="G442">
        <v>1</v>
      </c>
      <c r="H442" s="3" t="s">
        <v>2067</v>
      </c>
      <c r="I442" s="3" t="s">
        <v>2082</v>
      </c>
      <c r="K442" t="s">
        <v>1641</v>
      </c>
      <c r="L442" t="s">
        <v>176</v>
      </c>
      <c r="M442" t="s">
        <v>1436</v>
      </c>
      <c r="P442" t="s">
        <v>1449</v>
      </c>
      <c r="R442" t="s">
        <v>85</v>
      </c>
      <c r="W442" t="s">
        <v>862</v>
      </c>
      <c r="X442" t="s">
        <v>837</v>
      </c>
      <c r="AA442" t="s">
        <v>1155</v>
      </c>
      <c r="AB442" t="s">
        <v>1426</v>
      </c>
      <c r="AC442">
        <v>44</v>
      </c>
    </row>
    <row r="443" spans="1:29" x14ac:dyDescent="0.2">
      <c r="A443" t="s">
        <v>1642</v>
      </c>
      <c r="B443" t="s">
        <v>1643</v>
      </c>
      <c r="C443">
        <v>8685509</v>
      </c>
      <c r="D443">
        <v>5166917</v>
      </c>
      <c r="E443">
        <v>2226</v>
      </c>
      <c r="F443" t="s">
        <v>1435</v>
      </c>
      <c r="G443">
        <v>2</v>
      </c>
      <c r="H443" s="3" t="s">
        <v>2067</v>
      </c>
      <c r="I443" s="3" t="s">
        <v>2082</v>
      </c>
      <c r="K443" t="s">
        <v>1644</v>
      </c>
      <c r="L443" t="s">
        <v>176</v>
      </c>
      <c r="M443" t="s">
        <v>1436</v>
      </c>
      <c r="P443" t="s">
        <v>1449</v>
      </c>
      <c r="R443" t="s">
        <v>85</v>
      </c>
      <c r="W443" t="s">
        <v>996</v>
      </c>
      <c r="X443" t="s">
        <v>837</v>
      </c>
      <c r="AA443" t="s">
        <v>981</v>
      </c>
      <c r="AB443" t="s">
        <v>1426</v>
      </c>
      <c r="AC443">
        <v>44</v>
      </c>
    </row>
    <row r="444" spans="1:29" x14ac:dyDescent="0.2">
      <c r="A444" t="s">
        <v>1645</v>
      </c>
      <c r="B444" t="s">
        <v>1646</v>
      </c>
      <c r="C444">
        <v>4316811</v>
      </c>
      <c r="D444">
        <v>3670191</v>
      </c>
      <c r="E444">
        <v>991</v>
      </c>
      <c r="F444" t="s">
        <v>1593</v>
      </c>
      <c r="G444">
        <v>3</v>
      </c>
      <c r="H444" s="3" t="s">
        <v>2067</v>
      </c>
      <c r="I444" s="3" t="s">
        <v>2082</v>
      </c>
      <c r="K444" t="s">
        <v>1647</v>
      </c>
      <c r="L444" t="s">
        <v>176</v>
      </c>
      <c r="M444" t="s">
        <v>1436</v>
      </c>
      <c r="P444" t="s">
        <v>1449</v>
      </c>
      <c r="R444" t="s">
        <v>85</v>
      </c>
      <c r="W444" t="s">
        <v>903</v>
      </c>
      <c r="X444" t="s">
        <v>837</v>
      </c>
      <c r="AA444" t="s">
        <v>1047</v>
      </c>
      <c r="AB444" t="s">
        <v>1426</v>
      </c>
      <c r="AC444">
        <v>44</v>
      </c>
    </row>
    <row r="445" spans="1:29" x14ac:dyDescent="0.2">
      <c r="A445" t="s">
        <v>1648</v>
      </c>
      <c r="B445" t="s">
        <v>1649</v>
      </c>
      <c r="C445">
        <v>2678976</v>
      </c>
      <c r="D445">
        <v>2338923</v>
      </c>
      <c r="E445">
        <v>726</v>
      </c>
      <c r="F445" t="s">
        <v>1462</v>
      </c>
      <c r="G445">
        <v>1</v>
      </c>
      <c r="H445" s="3" t="s">
        <v>2068</v>
      </c>
      <c r="J445" s="3" t="s">
        <v>2084</v>
      </c>
      <c r="K445" t="s">
        <v>1650</v>
      </c>
      <c r="L445" t="s">
        <v>176</v>
      </c>
      <c r="M445" t="s">
        <v>1436</v>
      </c>
      <c r="N445" t="s">
        <v>1424</v>
      </c>
      <c r="P445" t="s">
        <v>1427</v>
      </c>
      <c r="R445" t="s">
        <v>85</v>
      </c>
      <c r="W445" t="s">
        <v>1063</v>
      </c>
      <c r="X445" t="s">
        <v>837</v>
      </c>
      <c r="AA445" t="s">
        <v>1161</v>
      </c>
      <c r="AB445" t="s">
        <v>1426</v>
      </c>
      <c r="AC445">
        <v>45</v>
      </c>
    </row>
    <row r="446" spans="1:29" x14ac:dyDescent="0.2">
      <c r="A446" t="s">
        <v>1651</v>
      </c>
      <c r="B446" t="s">
        <v>1652</v>
      </c>
      <c r="C446">
        <v>6029101</v>
      </c>
      <c r="D446">
        <v>5653426</v>
      </c>
      <c r="E446">
        <v>880</v>
      </c>
      <c r="F446" t="s">
        <v>1528</v>
      </c>
      <c r="G446">
        <v>2</v>
      </c>
      <c r="H446" s="3" t="s">
        <v>2068</v>
      </c>
      <c r="J446" s="3" t="s">
        <v>2084</v>
      </c>
      <c r="K446" t="s">
        <v>1653</v>
      </c>
      <c r="L446" t="s">
        <v>176</v>
      </c>
      <c r="M446" t="s">
        <v>1436</v>
      </c>
      <c r="N446" t="s">
        <v>1424</v>
      </c>
      <c r="P446" t="s">
        <v>1427</v>
      </c>
      <c r="R446" t="s">
        <v>85</v>
      </c>
      <c r="W446" t="s">
        <v>977</v>
      </c>
      <c r="X446" t="s">
        <v>837</v>
      </c>
      <c r="AA446" t="s">
        <v>1099</v>
      </c>
      <c r="AB446" t="s">
        <v>1426</v>
      </c>
      <c r="AC446">
        <v>45</v>
      </c>
    </row>
    <row r="447" spans="1:29" x14ac:dyDescent="0.2">
      <c r="A447" t="s">
        <v>1654</v>
      </c>
      <c r="B447" t="s">
        <v>1655</v>
      </c>
      <c r="C447">
        <v>4993894</v>
      </c>
      <c r="D447">
        <v>4820019</v>
      </c>
      <c r="E447">
        <v>582</v>
      </c>
      <c r="F447" t="s">
        <v>1435</v>
      </c>
      <c r="G447">
        <v>3</v>
      </c>
      <c r="H447" s="3" t="s">
        <v>2068</v>
      </c>
      <c r="J447" s="3" t="s">
        <v>2084</v>
      </c>
      <c r="K447" t="s">
        <v>1656</v>
      </c>
      <c r="L447" t="s">
        <v>176</v>
      </c>
      <c r="M447" t="s">
        <v>1436</v>
      </c>
      <c r="N447" t="s">
        <v>1424</v>
      </c>
      <c r="P447" t="s">
        <v>1427</v>
      </c>
      <c r="R447" t="s">
        <v>85</v>
      </c>
      <c r="W447" t="s">
        <v>959</v>
      </c>
      <c r="X447" t="s">
        <v>837</v>
      </c>
      <c r="AA447" t="s">
        <v>1143</v>
      </c>
      <c r="AB447" t="s">
        <v>1426</v>
      </c>
      <c r="AC447">
        <v>45</v>
      </c>
    </row>
    <row r="448" spans="1:29" x14ac:dyDescent="0.2">
      <c r="A448" t="s">
        <v>1657</v>
      </c>
      <c r="B448" t="s">
        <v>1658</v>
      </c>
      <c r="C448">
        <v>30717488</v>
      </c>
      <c r="D448">
        <v>149010</v>
      </c>
      <c r="E448">
        <v>12902</v>
      </c>
      <c r="F448" t="s">
        <v>1462</v>
      </c>
      <c r="G448">
        <v>1</v>
      </c>
      <c r="H448" s="3" t="s">
        <v>2067</v>
      </c>
      <c r="I448" s="3" t="s">
        <v>838</v>
      </c>
      <c r="K448" t="s">
        <v>1659</v>
      </c>
      <c r="L448" t="s">
        <v>176</v>
      </c>
      <c r="M448" t="s">
        <v>1436</v>
      </c>
      <c r="P448" t="s">
        <v>1427</v>
      </c>
      <c r="R448" t="s">
        <v>85</v>
      </c>
      <c r="W448" t="s">
        <v>888</v>
      </c>
      <c r="X448" t="s">
        <v>837</v>
      </c>
      <c r="AA448" t="s">
        <v>1086</v>
      </c>
      <c r="AB448" t="s">
        <v>1426</v>
      </c>
      <c r="AC448">
        <v>45</v>
      </c>
    </row>
    <row r="449" spans="1:29" x14ac:dyDescent="0.2">
      <c r="A449" t="s">
        <v>1660</v>
      </c>
      <c r="B449" t="s">
        <v>1661</v>
      </c>
      <c r="C449">
        <v>18973712</v>
      </c>
      <c r="D449">
        <v>84022</v>
      </c>
      <c r="E449">
        <v>8026</v>
      </c>
      <c r="F449" t="s">
        <v>1528</v>
      </c>
      <c r="G449">
        <v>2</v>
      </c>
      <c r="H449" s="3" t="s">
        <v>2067</v>
      </c>
      <c r="I449" s="3" t="s">
        <v>838</v>
      </c>
      <c r="K449" t="s">
        <v>1662</v>
      </c>
      <c r="L449" t="s">
        <v>176</v>
      </c>
      <c r="M449" t="s">
        <v>1436</v>
      </c>
      <c r="P449" t="s">
        <v>1427</v>
      </c>
      <c r="R449" t="s">
        <v>85</v>
      </c>
      <c r="W449" t="s">
        <v>866</v>
      </c>
      <c r="X449" t="s">
        <v>837</v>
      </c>
      <c r="AA449" t="s">
        <v>1149</v>
      </c>
      <c r="AB449" t="s">
        <v>1426</v>
      </c>
      <c r="AC449">
        <v>45</v>
      </c>
    </row>
    <row r="450" spans="1:29" x14ac:dyDescent="0.2">
      <c r="A450" t="s">
        <v>1663</v>
      </c>
      <c r="B450" t="s">
        <v>1664</v>
      </c>
      <c r="C450">
        <v>24462941</v>
      </c>
      <c r="D450">
        <v>56994</v>
      </c>
      <c r="E450">
        <v>10607</v>
      </c>
      <c r="F450" t="s">
        <v>1435</v>
      </c>
      <c r="G450">
        <v>3</v>
      </c>
      <c r="H450" s="3" t="s">
        <v>2067</v>
      </c>
      <c r="I450" s="3" t="s">
        <v>838</v>
      </c>
      <c r="K450" t="s">
        <v>1665</v>
      </c>
      <c r="L450" t="s">
        <v>176</v>
      </c>
      <c r="M450" t="s">
        <v>1436</v>
      </c>
      <c r="P450" t="s">
        <v>1427</v>
      </c>
      <c r="R450" t="s">
        <v>85</v>
      </c>
      <c r="W450" t="s">
        <v>848</v>
      </c>
      <c r="X450" t="s">
        <v>837</v>
      </c>
      <c r="AA450" t="s">
        <v>1108</v>
      </c>
      <c r="AB450" t="s">
        <v>1426</v>
      </c>
      <c r="AC450">
        <v>45</v>
      </c>
    </row>
    <row r="451" spans="1:29" x14ac:dyDescent="0.2">
      <c r="A451" t="s">
        <v>1666</v>
      </c>
      <c r="B451" t="s">
        <v>1667</v>
      </c>
      <c r="C451">
        <v>9543245</v>
      </c>
      <c r="D451">
        <v>22648</v>
      </c>
      <c r="E451">
        <v>8822</v>
      </c>
      <c r="F451" t="s">
        <v>1462</v>
      </c>
      <c r="G451">
        <v>1</v>
      </c>
      <c r="H451" s="3" t="s">
        <v>2067</v>
      </c>
      <c r="I451" s="3" t="s">
        <v>838</v>
      </c>
      <c r="K451" t="s">
        <v>1668</v>
      </c>
      <c r="L451" t="s">
        <v>176</v>
      </c>
      <c r="M451" t="s">
        <v>1436</v>
      </c>
      <c r="P451" t="s">
        <v>858</v>
      </c>
      <c r="R451" t="s">
        <v>85</v>
      </c>
      <c r="W451" t="s">
        <v>896</v>
      </c>
      <c r="X451" t="s">
        <v>837</v>
      </c>
      <c r="AA451" t="s">
        <v>960</v>
      </c>
      <c r="AB451" t="s">
        <v>1426</v>
      </c>
      <c r="AC451">
        <v>45</v>
      </c>
    </row>
    <row r="452" spans="1:29" x14ac:dyDescent="0.2">
      <c r="A452" t="s">
        <v>1669</v>
      </c>
      <c r="B452" t="s">
        <v>1670</v>
      </c>
      <c r="C452">
        <v>16093686</v>
      </c>
      <c r="D452">
        <v>48558</v>
      </c>
      <c r="E452">
        <v>6452</v>
      </c>
      <c r="F452" t="s">
        <v>1528</v>
      </c>
      <c r="G452">
        <v>2</v>
      </c>
      <c r="H452" s="3" t="s">
        <v>2067</v>
      </c>
      <c r="I452" s="3" t="s">
        <v>838</v>
      </c>
      <c r="K452" t="s">
        <v>1671</v>
      </c>
      <c r="L452" t="s">
        <v>176</v>
      </c>
      <c r="M452" t="s">
        <v>1436</v>
      </c>
      <c r="P452" t="s">
        <v>858</v>
      </c>
      <c r="R452" t="s">
        <v>85</v>
      </c>
      <c r="W452" t="s">
        <v>996</v>
      </c>
      <c r="X452" t="s">
        <v>837</v>
      </c>
      <c r="AA452" t="s">
        <v>1121</v>
      </c>
      <c r="AB452" t="s">
        <v>1426</v>
      </c>
      <c r="AC452">
        <v>45</v>
      </c>
    </row>
    <row r="453" spans="1:29" x14ac:dyDescent="0.2">
      <c r="A453" t="s">
        <v>1672</v>
      </c>
      <c r="B453" t="s">
        <v>1673</v>
      </c>
      <c r="C453">
        <v>15287160</v>
      </c>
      <c r="D453">
        <v>35100</v>
      </c>
      <c r="E453">
        <v>5850</v>
      </c>
      <c r="F453" t="s">
        <v>1435</v>
      </c>
      <c r="G453">
        <v>3</v>
      </c>
      <c r="H453" s="3" t="s">
        <v>2067</v>
      </c>
      <c r="I453" s="3" t="s">
        <v>838</v>
      </c>
      <c r="K453" t="s">
        <v>1674</v>
      </c>
      <c r="L453" t="s">
        <v>176</v>
      </c>
      <c r="M453" t="s">
        <v>1436</v>
      </c>
      <c r="P453" t="s">
        <v>858</v>
      </c>
      <c r="R453" t="s">
        <v>85</v>
      </c>
      <c r="W453" t="s">
        <v>848</v>
      </c>
      <c r="X453" t="s">
        <v>837</v>
      </c>
      <c r="AA453" t="s">
        <v>1078</v>
      </c>
      <c r="AB453" t="s">
        <v>1426</v>
      </c>
      <c r="AC453">
        <v>45</v>
      </c>
    </row>
    <row r="454" spans="1:29" x14ac:dyDescent="0.2">
      <c r="A454" t="s">
        <v>1675</v>
      </c>
      <c r="B454" t="s">
        <v>1676</v>
      </c>
      <c r="C454">
        <v>68700633</v>
      </c>
      <c r="D454">
        <v>320209</v>
      </c>
      <c r="E454">
        <v>25551</v>
      </c>
      <c r="F454" t="s">
        <v>1462</v>
      </c>
      <c r="G454">
        <v>1</v>
      </c>
      <c r="H454" s="3" t="s">
        <v>2067</v>
      </c>
      <c r="I454" s="3" t="s">
        <v>2081</v>
      </c>
      <c r="K454" t="s">
        <v>1677</v>
      </c>
      <c r="L454" t="s">
        <v>176</v>
      </c>
      <c r="M454" t="s">
        <v>1436</v>
      </c>
      <c r="P454" t="s">
        <v>1427</v>
      </c>
      <c r="R454" t="s">
        <v>85</v>
      </c>
      <c r="W454" t="s">
        <v>896</v>
      </c>
      <c r="X454" t="s">
        <v>837</v>
      </c>
      <c r="AA454" t="s">
        <v>1105</v>
      </c>
      <c r="AB454" t="s">
        <v>1426</v>
      </c>
      <c r="AC454">
        <v>45</v>
      </c>
    </row>
    <row r="455" spans="1:29" x14ac:dyDescent="0.2">
      <c r="A455" t="s">
        <v>1678</v>
      </c>
      <c r="B455" t="s">
        <v>1679</v>
      </c>
      <c r="C455">
        <v>22266519</v>
      </c>
      <c r="D455">
        <v>140805</v>
      </c>
      <c r="E455">
        <v>8995</v>
      </c>
      <c r="F455" t="s">
        <v>1528</v>
      </c>
      <c r="G455">
        <v>2</v>
      </c>
      <c r="H455" s="3" t="s">
        <v>2067</v>
      </c>
      <c r="I455" s="3" t="s">
        <v>2081</v>
      </c>
      <c r="K455" t="s">
        <v>1680</v>
      </c>
      <c r="L455" t="s">
        <v>176</v>
      </c>
      <c r="M455" t="s">
        <v>1436</v>
      </c>
      <c r="P455" t="s">
        <v>1427</v>
      </c>
      <c r="R455" t="s">
        <v>85</v>
      </c>
      <c r="W455" t="s">
        <v>862</v>
      </c>
      <c r="X455" t="s">
        <v>837</v>
      </c>
      <c r="AA455" t="s">
        <v>1096</v>
      </c>
      <c r="AB455" t="s">
        <v>1426</v>
      </c>
      <c r="AC455">
        <v>45</v>
      </c>
    </row>
    <row r="456" spans="1:29" x14ac:dyDescent="0.2">
      <c r="A456" t="s">
        <v>1681</v>
      </c>
      <c r="B456" t="s">
        <v>1682</v>
      </c>
      <c r="C456">
        <v>790640</v>
      </c>
      <c r="D456">
        <v>5840</v>
      </c>
      <c r="E456">
        <v>333</v>
      </c>
      <c r="F456" t="s">
        <v>1435</v>
      </c>
      <c r="G456">
        <v>3</v>
      </c>
      <c r="H456" s="3" t="s">
        <v>2067</v>
      </c>
      <c r="I456" s="3" t="s">
        <v>2081</v>
      </c>
      <c r="K456" t="s">
        <v>1683</v>
      </c>
      <c r="L456" t="s">
        <v>176</v>
      </c>
      <c r="M456" t="s">
        <v>1436</v>
      </c>
      <c r="P456" t="s">
        <v>1427</v>
      </c>
      <c r="R456" t="s">
        <v>85</v>
      </c>
      <c r="W456" t="s">
        <v>856</v>
      </c>
      <c r="X456" t="s">
        <v>837</v>
      </c>
      <c r="AA456" t="s">
        <v>1134</v>
      </c>
      <c r="AB456" t="s">
        <v>1426</v>
      </c>
      <c r="AC456">
        <v>45</v>
      </c>
    </row>
    <row r="457" spans="1:29" x14ac:dyDescent="0.2">
      <c r="A457" t="s">
        <v>1684</v>
      </c>
      <c r="B457" t="s">
        <v>1685</v>
      </c>
      <c r="C457">
        <v>23669965</v>
      </c>
      <c r="D457">
        <v>128984</v>
      </c>
      <c r="E457">
        <v>10567</v>
      </c>
      <c r="F457" t="s">
        <v>1462</v>
      </c>
      <c r="G457">
        <v>1</v>
      </c>
      <c r="H457" s="3" t="s">
        <v>2067</v>
      </c>
      <c r="I457" s="3" t="s">
        <v>2081</v>
      </c>
      <c r="K457" t="s">
        <v>1686</v>
      </c>
      <c r="L457" t="s">
        <v>176</v>
      </c>
      <c r="M457" t="s">
        <v>1436</v>
      </c>
      <c r="P457" t="s">
        <v>858</v>
      </c>
      <c r="R457" t="s">
        <v>85</v>
      </c>
      <c r="W457" t="s">
        <v>996</v>
      </c>
      <c r="X457" t="s">
        <v>837</v>
      </c>
      <c r="AA457" t="s">
        <v>1074</v>
      </c>
      <c r="AB457" t="s">
        <v>1426</v>
      </c>
      <c r="AC457">
        <v>45</v>
      </c>
    </row>
    <row r="458" spans="1:29" x14ac:dyDescent="0.2">
      <c r="A458" t="s">
        <v>1687</v>
      </c>
      <c r="B458" t="s">
        <v>1688</v>
      </c>
      <c r="C458">
        <v>96466200</v>
      </c>
      <c r="D458">
        <v>404065</v>
      </c>
      <c r="E458">
        <v>31698</v>
      </c>
      <c r="F458" t="s">
        <v>1528</v>
      </c>
      <c r="G458">
        <v>2</v>
      </c>
      <c r="H458" s="3" t="s">
        <v>2067</v>
      </c>
      <c r="I458" s="3" t="s">
        <v>2081</v>
      </c>
      <c r="K458" t="s">
        <v>1689</v>
      </c>
      <c r="L458" t="s">
        <v>176</v>
      </c>
      <c r="M458" t="s">
        <v>1436</v>
      </c>
      <c r="P458" t="s">
        <v>858</v>
      </c>
      <c r="R458" t="s">
        <v>85</v>
      </c>
      <c r="W458" t="s">
        <v>1690</v>
      </c>
      <c r="X458" t="s">
        <v>837</v>
      </c>
      <c r="AA458" t="s">
        <v>1158</v>
      </c>
      <c r="AB458" t="s">
        <v>1426</v>
      </c>
      <c r="AC458">
        <v>45</v>
      </c>
    </row>
    <row r="459" spans="1:29" x14ac:dyDescent="0.2">
      <c r="A459" t="s">
        <v>1691</v>
      </c>
      <c r="B459" t="s">
        <v>1692</v>
      </c>
      <c r="C459">
        <v>22972433</v>
      </c>
      <c r="D459">
        <v>128774</v>
      </c>
      <c r="E459">
        <v>8800</v>
      </c>
      <c r="F459" t="s">
        <v>1435</v>
      </c>
      <c r="G459">
        <v>3</v>
      </c>
      <c r="H459" s="3" t="s">
        <v>2067</v>
      </c>
      <c r="I459" s="3" t="s">
        <v>2081</v>
      </c>
      <c r="K459" t="s">
        <v>1693</v>
      </c>
      <c r="L459" t="s">
        <v>176</v>
      </c>
      <c r="M459" t="s">
        <v>1436</v>
      </c>
      <c r="P459" t="s">
        <v>858</v>
      </c>
      <c r="R459" t="s">
        <v>85</v>
      </c>
      <c r="W459" t="s">
        <v>1092</v>
      </c>
      <c r="X459" t="s">
        <v>837</v>
      </c>
      <c r="AA459" t="s">
        <v>1118</v>
      </c>
      <c r="AB459" t="s">
        <v>1426</v>
      </c>
      <c r="AC459">
        <v>45</v>
      </c>
    </row>
    <row r="460" spans="1:29" x14ac:dyDescent="0.2">
      <c r="A460" t="s">
        <v>1694</v>
      </c>
      <c r="B460" t="s">
        <v>1695</v>
      </c>
      <c r="C460">
        <v>102649993</v>
      </c>
      <c r="D460">
        <v>616056</v>
      </c>
      <c r="E460">
        <v>42227</v>
      </c>
      <c r="F460" t="s">
        <v>1462</v>
      </c>
      <c r="G460">
        <v>1</v>
      </c>
      <c r="H460" s="3" t="s">
        <v>2067</v>
      </c>
      <c r="I460" s="3" t="s">
        <v>2082</v>
      </c>
      <c r="K460" t="s">
        <v>1696</v>
      </c>
      <c r="L460" t="s">
        <v>176</v>
      </c>
      <c r="M460" t="s">
        <v>1436</v>
      </c>
      <c r="P460" t="s">
        <v>1427</v>
      </c>
      <c r="R460" t="s">
        <v>85</v>
      </c>
      <c r="W460" t="s">
        <v>1015</v>
      </c>
      <c r="X460" t="s">
        <v>837</v>
      </c>
      <c r="AA460" t="s">
        <v>1131</v>
      </c>
      <c r="AB460" t="s">
        <v>1426</v>
      </c>
      <c r="AC460">
        <v>45</v>
      </c>
    </row>
    <row r="461" spans="1:29" x14ac:dyDescent="0.2">
      <c r="A461" t="s">
        <v>1697</v>
      </c>
      <c r="B461" t="s">
        <v>1698</v>
      </c>
      <c r="C461">
        <v>13531894</v>
      </c>
      <c r="D461">
        <v>328362</v>
      </c>
      <c r="E461">
        <v>5818</v>
      </c>
      <c r="F461" t="s">
        <v>1528</v>
      </c>
      <c r="G461">
        <v>2</v>
      </c>
      <c r="H461" s="3" t="s">
        <v>2067</v>
      </c>
      <c r="I461" s="3" t="s">
        <v>2082</v>
      </c>
      <c r="K461" t="s">
        <v>1699</v>
      </c>
      <c r="L461" t="s">
        <v>176</v>
      </c>
      <c r="M461" t="s">
        <v>1436</v>
      </c>
      <c r="P461" t="s">
        <v>1427</v>
      </c>
      <c r="R461" t="s">
        <v>85</v>
      </c>
      <c r="W461" t="s">
        <v>918</v>
      </c>
      <c r="X461" t="s">
        <v>837</v>
      </c>
      <c r="AA461" t="s">
        <v>1089</v>
      </c>
      <c r="AB461" t="s">
        <v>1426</v>
      </c>
      <c r="AC461">
        <v>45</v>
      </c>
    </row>
    <row r="462" spans="1:29" x14ac:dyDescent="0.2">
      <c r="A462" t="s">
        <v>1700</v>
      </c>
      <c r="B462" t="s">
        <v>1701</v>
      </c>
      <c r="C462">
        <v>19872224</v>
      </c>
      <c r="D462">
        <v>263800</v>
      </c>
      <c r="E462">
        <v>6651</v>
      </c>
      <c r="F462" t="s">
        <v>1435</v>
      </c>
      <c r="G462">
        <v>3</v>
      </c>
      <c r="H462" s="3" t="s">
        <v>2067</v>
      </c>
      <c r="I462" s="3" t="s">
        <v>2082</v>
      </c>
      <c r="K462" t="s">
        <v>1702</v>
      </c>
      <c r="L462" t="s">
        <v>176</v>
      </c>
      <c r="M462" t="s">
        <v>1436</v>
      </c>
      <c r="P462" t="s">
        <v>1427</v>
      </c>
      <c r="R462" t="s">
        <v>85</v>
      </c>
      <c r="W462" t="s">
        <v>871</v>
      </c>
      <c r="X462" t="s">
        <v>837</v>
      </c>
      <c r="AA462" t="s">
        <v>1152</v>
      </c>
      <c r="AB462" t="s">
        <v>1426</v>
      </c>
      <c r="AC462">
        <v>45</v>
      </c>
    </row>
    <row r="463" spans="1:29" x14ac:dyDescent="0.2">
      <c r="A463" t="s">
        <v>1703</v>
      </c>
      <c r="B463" t="s">
        <v>1704</v>
      </c>
      <c r="C463">
        <v>52221053</v>
      </c>
      <c r="D463">
        <v>394751</v>
      </c>
      <c r="E463">
        <v>19269</v>
      </c>
      <c r="F463" t="s">
        <v>1462</v>
      </c>
      <c r="G463">
        <v>1</v>
      </c>
      <c r="H463" s="3" t="s">
        <v>2067</v>
      </c>
      <c r="I463" s="3" t="s">
        <v>2082</v>
      </c>
      <c r="K463" t="s">
        <v>1705</v>
      </c>
      <c r="L463" t="s">
        <v>176</v>
      </c>
      <c r="M463" t="s">
        <v>1436</v>
      </c>
      <c r="P463" t="s">
        <v>858</v>
      </c>
      <c r="R463" t="s">
        <v>85</v>
      </c>
      <c r="W463" t="s">
        <v>856</v>
      </c>
      <c r="X463" t="s">
        <v>837</v>
      </c>
      <c r="AA463" t="s">
        <v>1115</v>
      </c>
      <c r="AB463" t="s">
        <v>1426</v>
      </c>
      <c r="AC463">
        <v>45</v>
      </c>
    </row>
    <row r="464" spans="1:29" x14ac:dyDescent="0.2">
      <c r="A464" t="s">
        <v>1706</v>
      </c>
      <c r="B464" t="s">
        <v>1707</v>
      </c>
      <c r="C464">
        <v>14883572</v>
      </c>
      <c r="D464">
        <v>742338</v>
      </c>
      <c r="E464">
        <v>5490</v>
      </c>
      <c r="F464" t="s">
        <v>1528</v>
      </c>
      <c r="G464">
        <v>2</v>
      </c>
      <c r="H464" s="3" t="s">
        <v>2067</v>
      </c>
      <c r="I464" s="3" t="s">
        <v>2082</v>
      </c>
      <c r="K464" t="s">
        <v>1708</v>
      </c>
      <c r="L464" t="s">
        <v>176</v>
      </c>
      <c r="M464" t="s">
        <v>1436</v>
      </c>
      <c r="P464" t="s">
        <v>858</v>
      </c>
      <c r="R464" t="s">
        <v>85</v>
      </c>
      <c r="W464" t="s">
        <v>839</v>
      </c>
      <c r="X464" t="s">
        <v>837</v>
      </c>
      <c r="AA464" t="s">
        <v>1068</v>
      </c>
      <c r="AB464" t="s">
        <v>1426</v>
      </c>
      <c r="AC464">
        <v>45</v>
      </c>
    </row>
    <row r="465" spans="1:30" x14ac:dyDescent="0.2">
      <c r="A465" t="s">
        <v>1709</v>
      </c>
      <c r="B465" t="s">
        <v>1710</v>
      </c>
      <c r="C465">
        <v>16466358</v>
      </c>
      <c r="D465">
        <v>328435</v>
      </c>
      <c r="E465">
        <v>5918</v>
      </c>
      <c r="F465" t="s">
        <v>1435</v>
      </c>
      <c r="G465">
        <v>3</v>
      </c>
      <c r="H465" s="3" t="s">
        <v>2067</v>
      </c>
      <c r="I465" s="3" t="s">
        <v>2082</v>
      </c>
      <c r="K465" t="s">
        <v>1711</v>
      </c>
      <c r="L465" t="s">
        <v>176</v>
      </c>
      <c r="M465" t="s">
        <v>1436</v>
      </c>
      <c r="P465" t="s">
        <v>858</v>
      </c>
      <c r="R465" t="s">
        <v>85</v>
      </c>
      <c r="W465" t="s">
        <v>862</v>
      </c>
      <c r="X465" t="s">
        <v>837</v>
      </c>
      <c r="AA465" t="s">
        <v>1124</v>
      </c>
      <c r="AB465" t="s">
        <v>1426</v>
      </c>
      <c r="AC465">
        <v>45</v>
      </c>
    </row>
    <row r="466" spans="1:30" x14ac:dyDescent="0.2">
      <c r="A466" t="s">
        <v>1712</v>
      </c>
      <c r="B466" t="s">
        <v>1713</v>
      </c>
      <c r="C466">
        <v>70398383</v>
      </c>
      <c r="D466">
        <v>69248318</v>
      </c>
      <c r="E466">
        <v>1621</v>
      </c>
      <c r="H466" s="3" t="s">
        <v>2085</v>
      </c>
      <c r="J466" s="3" t="s">
        <v>2084</v>
      </c>
      <c r="K466" t="s">
        <v>1715</v>
      </c>
      <c r="L466" t="s">
        <v>176</v>
      </c>
      <c r="M466" t="s">
        <v>844</v>
      </c>
      <c r="R466" t="s">
        <v>85</v>
      </c>
      <c r="W466" t="s">
        <v>871</v>
      </c>
      <c r="X466" t="s">
        <v>837</v>
      </c>
      <c r="AA466" t="s">
        <v>1716</v>
      </c>
      <c r="AB466" t="s">
        <v>53</v>
      </c>
      <c r="AD466" t="s">
        <v>1714</v>
      </c>
    </row>
    <row r="467" spans="1:30" x14ac:dyDescent="0.2">
      <c r="A467" t="s">
        <v>1717</v>
      </c>
      <c r="B467" t="s">
        <v>1718</v>
      </c>
      <c r="C467">
        <v>53188571</v>
      </c>
      <c r="D467">
        <v>52567305</v>
      </c>
      <c r="E467">
        <v>1646</v>
      </c>
      <c r="H467" s="3" t="s">
        <v>2085</v>
      </c>
      <c r="J467" s="3" t="s">
        <v>2084</v>
      </c>
      <c r="K467" t="s">
        <v>1719</v>
      </c>
      <c r="L467" t="s">
        <v>176</v>
      </c>
      <c r="M467" t="s">
        <v>844</v>
      </c>
      <c r="R467" t="s">
        <v>85</v>
      </c>
      <c r="W467" t="s">
        <v>959</v>
      </c>
      <c r="X467" t="s">
        <v>837</v>
      </c>
      <c r="AA467" t="s">
        <v>1089</v>
      </c>
      <c r="AB467" t="s">
        <v>53</v>
      </c>
      <c r="AD467" t="s">
        <v>1714</v>
      </c>
    </row>
    <row r="468" spans="1:30" x14ac:dyDescent="0.2">
      <c r="A468" t="s">
        <v>1720</v>
      </c>
      <c r="B468" t="s">
        <v>1721</v>
      </c>
      <c r="C468">
        <v>5515004</v>
      </c>
      <c r="D468">
        <v>5100626</v>
      </c>
      <c r="E468">
        <v>623</v>
      </c>
      <c r="H468" t="s">
        <v>2069</v>
      </c>
      <c r="J468" s="3" t="s">
        <v>2084</v>
      </c>
      <c r="K468" t="s">
        <v>526</v>
      </c>
      <c r="L468" t="s">
        <v>176</v>
      </c>
      <c r="M468" t="s">
        <v>1723</v>
      </c>
      <c r="R468" t="s">
        <v>85</v>
      </c>
      <c r="W468" t="s">
        <v>888</v>
      </c>
      <c r="X468" t="s">
        <v>837</v>
      </c>
      <c r="AA468" t="s">
        <v>1722</v>
      </c>
      <c r="AB468" t="s">
        <v>842</v>
      </c>
    </row>
    <row r="469" spans="1:30" x14ac:dyDescent="0.2">
      <c r="A469" t="s">
        <v>1724</v>
      </c>
      <c r="B469" t="s">
        <v>1725</v>
      </c>
      <c r="C469">
        <v>16116116</v>
      </c>
      <c r="D469">
        <v>15426110</v>
      </c>
      <c r="E469">
        <v>2481</v>
      </c>
      <c r="H469" t="s">
        <v>2069</v>
      </c>
      <c r="J469" s="3" t="s">
        <v>2084</v>
      </c>
      <c r="K469" t="s">
        <v>1726</v>
      </c>
      <c r="L469" t="s">
        <v>176</v>
      </c>
      <c r="M469" t="s">
        <v>844</v>
      </c>
      <c r="R469" t="s">
        <v>85</v>
      </c>
      <c r="W469" t="s">
        <v>862</v>
      </c>
      <c r="X469" t="s">
        <v>837</v>
      </c>
      <c r="AA469" t="s">
        <v>1722</v>
      </c>
      <c r="AB469" t="s">
        <v>53</v>
      </c>
    </row>
    <row r="470" spans="1:30" x14ac:dyDescent="0.2">
      <c r="A470" t="s">
        <v>1727</v>
      </c>
      <c r="B470" t="s">
        <v>1728</v>
      </c>
      <c r="C470">
        <v>10732774</v>
      </c>
      <c r="D470">
        <v>9428865</v>
      </c>
      <c r="E470">
        <v>6681</v>
      </c>
      <c r="H470" t="s">
        <v>2069</v>
      </c>
      <c r="J470" s="3" t="s">
        <v>2084</v>
      </c>
      <c r="K470" t="s">
        <v>1729</v>
      </c>
      <c r="L470" t="s">
        <v>176</v>
      </c>
      <c r="M470" t="s">
        <v>844</v>
      </c>
      <c r="R470" t="s">
        <v>85</v>
      </c>
      <c r="W470" t="s">
        <v>856</v>
      </c>
      <c r="X470" t="s">
        <v>837</v>
      </c>
      <c r="AA470" t="s">
        <v>1068</v>
      </c>
      <c r="AB470" t="s">
        <v>53</v>
      </c>
    </row>
  </sheetData>
  <phoneticPr fontId="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="97" zoomScaleNormal="97" workbookViewId="0">
      <selection activeCell="C18" sqref="C18"/>
    </sheetView>
  </sheetViews>
  <sheetFormatPr baseColWidth="10" defaultColWidth="19.5" defaultRowHeight="15" x14ac:dyDescent="0.2"/>
  <sheetData>
    <row r="1" spans="1:5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5" x14ac:dyDescent="0.2">
      <c r="A2" t="s">
        <v>12</v>
      </c>
      <c r="B2" t="s">
        <v>1775</v>
      </c>
      <c r="C2" t="s">
        <v>1776</v>
      </c>
      <c r="D2" t="s">
        <v>1738</v>
      </c>
      <c r="E2" t="s">
        <v>1739</v>
      </c>
    </row>
    <row r="3" spans="1:5" x14ac:dyDescent="0.2">
      <c r="A3" t="s">
        <v>1777</v>
      </c>
      <c r="B3" t="s">
        <v>1778</v>
      </c>
      <c r="C3" t="s">
        <v>1053</v>
      </c>
      <c r="D3" t="s">
        <v>1752</v>
      </c>
      <c r="E3" t="s">
        <v>1739</v>
      </c>
    </row>
    <row r="4" spans="1:5" x14ac:dyDescent="0.2">
      <c r="A4" t="s">
        <v>1779</v>
      </c>
      <c r="B4" t="s">
        <v>1780</v>
      </c>
      <c r="C4" t="s">
        <v>1781</v>
      </c>
      <c r="D4" t="s">
        <v>1752</v>
      </c>
      <c r="E4" t="s">
        <v>1764</v>
      </c>
    </row>
    <row r="5" spans="1:5" x14ac:dyDescent="0.2">
      <c r="A5" t="s">
        <v>1782</v>
      </c>
      <c r="B5" t="s">
        <v>1783</v>
      </c>
      <c r="C5" t="s">
        <v>870</v>
      </c>
      <c r="D5" s="3" t="s">
        <v>1738</v>
      </c>
      <c r="E5" t="s">
        <v>1764</v>
      </c>
    </row>
    <row r="6" spans="1:5" x14ac:dyDescent="0.2">
      <c r="A6" t="s">
        <v>1784</v>
      </c>
      <c r="B6" t="s">
        <v>1785</v>
      </c>
      <c r="C6" t="s">
        <v>1786</v>
      </c>
      <c r="D6" t="s">
        <v>1738</v>
      </c>
      <c r="E6" t="s">
        <v>1739</v>
      </c>
    </row>
    <row r="7" spans="1:5" x14ac:dyDescent="0.2">
      <c r="A7" t="s">
        <v>2087</v>
      </c>
      <c r="B7" t="s">
        <v>2064</v>
      </c>
      <c r="C7" s="3" t="s">
        <v>2065</v>
      </c>
      <c r="D7" t="s">
        <v>1752</v>
      </c>
      <c r="E7" t="s">
        <v>1739</v>
      </c>
    </row>
    <row r="8" spans="1:5" x14ac:dyDescent="0.2">
      <c r="A8" t="s">
        <v>1787</v>
      </c>
      <c r="B8" t="s">
        <v>1788</v>
      </c>
      <c r="C8" t="s">
        <v>2089</v>
      </c>
      <c r="D8" t="s">
        <v>1752</v>
      </c>
      <c r="E8" t="s">
        <v>1739</v>
      </c>
    </row>
    <row r="9" spans="1:5" x14ac:dyDescent="0.2">
      <c r="A9" t="s">
        <v>1789</v>
      </c>
      <c r="B9" t="s">
        <v>1790</v>
      </c>
      <c r="C9" t="s">
        <v>1791</v>
      </c>
      <c r="D9" t="s">
        <v>1752</v>
      </c>
      <c r="E9" t="s">
        <v>1739</v>
      </c>
    </row>
    <row r="10" spans="1:5" x14ac:dyDescent="0.2">
      <c r="A10" t="s">
        <v>1792</v>
      </c>
      <c r="B10" t="s">
        <v>1793</v>
      </c>
      <c r="C10" t="s">
        <v>1794</v>
      </c>
      <c r="D10" t="s">
        <v>1752</v>
      </c>
      <c r="E10" t="s">
        <v>1739</v>
      </c>
    </row>
    <row r="11" spans="1:5" x14ac:dyDescent="0.2">
      <c r="A11" t="s">
        <v>1795</v>
      </c>
      <c r="B11" t="s">
        <v>1796</v>
      </c>
      <c r="C11" t="s">
        <v>1797</v>
      </c>
      <c r="D11" t="s">
        <v>1738</v>
      </c>
      <c r="E11" t="s">
        <v>1739</v>
      </c>
    </row>
    <row r="12" spans="1:5" x14ac:dyDescent="0.2">
      <c r="A12" s="3" t="s">
        <v>2086</v>
      </c>
      <c r="B12" s="3" t="s">
        <v>2086</v>
      </c>
      <c r="C12" s="3" t="s">
        <v>2088</v>
      </c>
      <c r="D12" s="3" t="s">
        <v>1752</v>
      </c>
      <c r="E12" s="3" t="s">
        <v>1739</v>
      </c>
    </row>
    <row r="13" spans="1:5" x14ac:dyDescent="0.2">
      <c r="A13" s="3"/>
      <c r="B13" s="3"/>
      <c r="C13" s="3"/>
      <c r="D13" s="3"/>
      <c r="E13" s="3"/>
    </row>
    <row r="14" spans="1:5" x14ac:dyDescent="0.2">
      <c r="A14" s="3"/>
      <c r="B14" s="3"/>
      <c r="C14" s="3"/>
      <c r="D14" s="3"/>
      <c r="E14" s="3"/>
    </row>
    <row r="15" spans="1:5" x14ac:dyDescent="0.2">
      <c r="A15" s="3"/>
      <c r="B15" s="3"/>
      <c r="C15" s="3"/>
      <c r="D15" s="3"/>
      <c r="E15" s="3"/>
    </row>
    <row r="16" spans="1:5" x14ac:dyDescent="0.2">
      <c r="A16" s="3"/>
      <c r="B16" s="3"/>
      <c r="C16" s="3"/>
      <c r="D16" s="3"/>
      <c r="E16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2"/>
  <sheetViews>
    <sheetView tabSelected="1" zoomScaleNormal="100" workbookViewId="0">
      <selection activeCell="C9" sqref="C9"/>
    </sheetView>
  </sheetViews>
  <sheetFormatPr baseColWidth="10" defaultColWidth="19.6640625" defaultRowHeight="15" x14ac:dyDescent="0.2"/>
  <cols>
    <col min="1" max="1" width="27.5" customWidth="1"/>
    <col min="2" max="2" width="40.1640625" customWidth="1"/>
  </cols>
  <sheetData>
    <row r="1" spans="1:6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6" x14ac:dyDescent="0.2">
      <c r="A2" t="s">
        <v>1798</v>
      </c>
      <c r="B2" t="s">
        <v>1799</v>
      </c>
      <c r="C2" t="s">
        <v>1800</v>
      </c>
      <c r="D2" t="s">
        <v>1738</v>
      </c>
      <c r="E2" t="s">
        <v>1739</v>
      </c>
    </row>
    <row r="3" spans="1:6" x14ac:dyDescent="0.2">
      <c r="A3" t="s">
        <v>8</v>
      </c>
      <c r="B3" t="s">
        <v>1801</v>
      </c>
      <c r="C3" t="s">
        <v>834</v>
      </c>
      <c r="D3" t="s">
        <v>1802</v>
      </c>
      <c r="E3" t="s">
        <v>1739</v>
      </c>
    </row>
    <row r="4" spans="1:6" x14ac:dyDescent="0.2">
      <c r="A4" t="s">
        <v>1735</v>
      </c>
      <c r="B4" t="s">
        <v>1736</v>
      </c>
      <c r="C4" t="s">
        <v>1737</v>
      </c>
      <c r="D4" t="s">
        <v>1738</v>
      </c>
      <c r="E4" t="s">
        <v>1739</v>
      </c>
    </row>
    <row r="5" spans="1:6" x14ac:dyDescent="0.2">
      <c r="A5" t="s">
        <v>12</v>
      </c>
      <c r="B5" t="s">
        <v>1803</v>
      </c>
      <c r="C5" t="s">
        <v>1804</v>
      </c>
      <c r="D5" t="s">
        <v>1802</v>
      </c>
      <c r="E5" t="s">
        <v>1739</v>
      </c>
      <c r="F5" s="3"/>
    </row>
    <row r="6" spans="1:6" x14ac:dyDescent="0.2">
      <c r="A6" t="s">
        <v>1765</v>
      </c>
      <c r="B6" t="s">
        <v>1805</v>
      </c>
      <c r="C6" t="s">
        <v>1767</v>
      </c>
      <c r="D6" t="s">
        <v>1752</v>
      </c>
      <c r="E6" t="s">
        <v>1739</v>
      </c>
    </row>
    <row r="7" spans="1:6" x14ac:dyDescent="0.2">
      <c r="A7" t="s">
        <v>20</v>
      </c>
      <c r="B7" t="s">
        <v>1806</v>
      </c>
      <c r="C7" t="s">
        <v>35</v>
      </c>
      <c r="D7" t="s">
        <v>1752</v>
      </c>
      <c r="E7" t="s">
        <v>1764</v>
      </c>
    </row>
    <row r="8" spans="1:6" x14ac:dyDescent="0.2">
      <c r="A8" t="s">
        <v>10</v>
      </c>
      <c r="B8" t="s">
        <v>1807</v>
      </c>
      <c r="C8" t="s">
        <v>1808</v>
      </c>
      <c r="D8" t="s">
        <v>1738</v>
      </c>
      <c r="E8" t="s">
        <v>1809</v>
      </c>
    </row>
    <row r="9" spans="1:6" x14ac:dyDescent="0.2">
      <c r="A9" t="s">
        <v>1810</v>
      </c>
      <c r="B9" t="s">
        <v>1811</v>
      </c>
      <c r="C9" t="s">
        <v>1812</v>
      </c>
      <c r="D9" t="s">
        <v>1813</v>
      </c>
      <c r="E9" t="s">
        <v>1739</v>
      </c>
    </row>
    <row r="10" spans="1:6" x14ac:dyDescent="0.2">
      <c r="A10" s="3" t="s">
        <v>6</v>
      </c>
      <c r="B10" t="s">
        <v>1814</v>
      </c>
      <c r="C10" t="s">
        <v>2080</v>
      </c>
      <c r="D10" t="s">
        <v>1738</v>
      </c>
      <c r="E10" t="s">
        <v>1739</v>
      </c>
    </row>
    <row r="11" spans="1:6" x14ac:dyDescent="0.2">
      <c r="A11" t="s">
        <v>1815</v>
      </c>
      <c r="B11" t="s">
        <v>1816</v>
      </c>
      <c r="C11" t="s">
        <v>1817</v>
      </c>
      <c r="D11" t="s">
        <v>1738</v>
      </c>
      <c r="E11" t="s">
        <v>1739</v>
      </c>
    </row>
    <row r="12" spans="1:6" x14ac:dyDescent="0.2">
      <c r="A12" t="s">
        <v>9</v>
      </c>
      <c r="B12" t="s">
        <v>1818</v>
      </c>
      <c r="C12" t="s">
        <v>1819</v>
      </c>
      <c r="D12" t="s">
        <v>1802</v>
      </c>
      <c r="E12" t="s">
        <v>1739</v>
      </c>
    </row>
    <row r="13" spans="1:6" x14ac:dyDescent="0.2">
      <c r="A13" t="s">
        <v>1820</v>
      </c>
      <c r="B13" t="s">
        <v>1821</v>
      </c>
      <c r="C13" t="s">
        <v>1822</v>
      </c>
      <c r="D13" t="s">
        <v>1752</v>
      </c>
      <c r="E13" t="s">
        <v>1739</v>
      </c>
    </row>
    <row r="14" spans="1:6" x14ac:dyDescent="0.2">
      <c r="A14" s="3" t="s">
        <v>2073</v>
      </c>
      <c r="B14" s="3" t="s">
        <v>2074</v>
      </c>
      <c r="C14" s="4" t="s">
        <v>2076</v>
      </c>
      <c r="D14" t="s">
        <v>1752</v>
      </c>
      <c r="E14" t="s">
        <v>1739</v>
      </c>
    </row>
    <row r="15" spans="1:6" x14ac:dyDescent="0.2">
      <c r="A15" t="s">
        <v>1824</v>
      </c>
      <c r="B15" t="s">
        <v>1825</v>
      </c>
      <c r="C15" t="s">
        <v>1826</v>
      </c>
      <c r="D15" t="s">
        <v>1823</v>
      </c>
      <c r="E15" t="s">
        <v>1739</v>
      </c>
    </row>
    <row r="16" spans="1:6" x14ac:dyDescent="0.2">
      <c r="A16" t="s">
        <v>18</v>
      </c>
      <c r="B16" t="s">
        <v>1827</v>
      </c>
      <c r="C16" t="s">
        <v>1828</v>
      </c>
      <c r="D16" t="s">
        <v>1823</v>
      </c>
      <c r="E16" t="s">
        <v>1739</v>
      </c>
    </row>
    <row r="17" spans="1:6" x14ac:dyDescent="0.2">
      <c r="A17" t="s">
        <v>1829</v>
      </c>
      <c r="B17" s="7" t="s">
        <v>2063</v>
      </c>
      <c r="C17" t="s">
        <v>1830</v>
      </c>
      <c r="D17" t="s">
        <v>1823</v>
      </c>
      <c r="E17" t="s">
        <v>1739</v>
      </c>
      <c r="F17" s="3"/>
    </row>
    <row r="18" spans="1:6" x14ac:dyDescent="0.2">
      <c r="A18" t="s">
        <v>1831</v>
      </c>
      <c r="B18" t="s">
        <v>1832</v>
      </c>
      <c r="C18" t="s">
        <v>1833</v>
      </c>
      <c r="D18" t="s">
        <v>1823</v>
      </c>
      <c r="E18" t="s">
        <v>1739</v>
      </c>
    </row>
    <row r="19" spans="1:6" x14ac:dyDescent="0.2">
      <c r="A19" t="s">
        <v>1834</v>
      </c>
      <c r="B19" t="s">
        <v>1835</v>
      </c>
      <c r="C19" t="s">
        <v>1836</v>
      </c>
      <c r="D19" t="s">
        <v>1823</v>
      </c>
      <c r="E19" t="s">
        <v>1739</v>
      </c>
    </row>
    <row r="20" spans="1:6" x14ac:dyDescent="0.2">
      <c r="A20" t="s">
        <v>1837</v>
      </c>
      <c r="B20" t="s">
        <v>1838</v>
      </c>
      <c r="C20" t="s">
        <v>1839</v>
      </c>
      <c r="D20" t="s">
        <v>1823</v>
      </c>
      <c r="E20" t="s">
        <v>1739</v>
      </c>
    </row>
    <row r="21" spans="1:6" x14ac:dyDescent="0.2">
      <c r="A21" t="s">
        <v>1840</v>
      </c>
      <c r="B21" t="s">
        <v>1841</v>
      </c>
      <c r="C21" t="s">
        <v>1842</v>
      </c>
      <c r="D21" t="s">
        <v>1823</v>
      </c>
      <c r="E21" t="s">
        <v>1739</v>
      </c>
    </row>
    <row r="22" spans="1:6" x14ac:dyDescent="0.2">
      <c r="A22" s="3" t="s">
        <v>2057</v>
      </c>
      <c r="B22" t="s">
        <v>1843</v>
      </c>
      <c r="C22" t="s">
        <v>176</v>
      </c>
      <c r="D22" t="s">
        <v>1844</v>
      </c>
      <c r="E22" t="s">
        <v>1739</v>
      </c>
    </row>
    <row r="23" spans="1:6" x14ac:dyDescent="0.2">
      <c r="A23" s="3" t="s">
        <v>2077</v>
      </c>
      <c r="B23" t="s">
        <v>1845</v>
      </c>
      <c r="C23" t="s">
        <v>221</v>
      </c>
      <c r="D23" t="s">
        <v>1844</v>
      </c>
      <c r="E23" t="s">
        <v>1739</v>
      </c>
    </row>
    <row r="24" spans="1:6" x14ac:dyDescent="0.2">
      <c r="A24" t="s">
        <v>14</v>
      </c>
      <c r="B24" t="s">
        <v>1846</v>
      </c>
      <c r="C24" t="s">
        <v>1714</v>
      </c>
      <c r="D24" t="s">
        <v>1844</v>
      </c>
      <c r="E24" t="s">
        <v>1739</v>
      </c>
    </row>
    <row r="25" spans="1:6" x14ac:dyDescent="0.2">
      <c r="A25" t="s">
        <v>1847</v>
      </c>
      <c r="B25" t="s">
        <v>1848</v>
      </c>
      <c r="C25" t="s">
        <v>1849</v>
      </c>
      <c r="D25" t="s">
        <v>1823</v>
      </c>
      <c r="E25" t="s">
        <v>1739</v>
      </c>
    </row>
    <row r="26" spans="1:6" x14ac:dyDescent="0.2">
      <c r="A26" s="4" t="s">
        <v>2062</v>
      </c>
      <c r="B26" t="s">
        <v>1850</v>
      </c>
      <c r="C26" t="s">
        <v>1851</v>
      </c>
      <c r="D26" t="s">
        <v>1844</v>
      </c>
      <c r="E26" t="s">
        <v>1739</v>
      </c>
    </row>
    <row r="27" spans="1:6" x14ac:dyDescent="0.2">
      <c r="A27" s="4" t="s">
        <v>2061</v>
      </c>
      <c r="B27" t="s">
        <v>1852</v>
      </c>
      <c r="C27" t="s">
        <v>893</v>
      </c>
      <c r="D27" t="s">
        <v>1844</v>
      </c>
      <c r="E27" t="s">
        <v>1739</v>
      </c>
    </row>
    <row r="28" spans="1:6" x14ac:dyDescent="0.2">
      <c r="A28" t="s">
        <v>13</v>
      </c>
      <c r="B28" t="s">
        <v>1853</v>
      </c>
      <c r="C28" t="s">
        <v>1791</v>
      </c>
      <c r="D28" t="s">
        <v>1844</v>
      </c>
      <c r="E28" t="s">
        <v>1854</v>
      </c>
    </row>
    <row r="29" spans="1:6" x14ac:dyDescent="0.2">
      <c r="A29" t="s">
        <v>1855</v>
      </c>
      <c r="B29" t="s">
        <v>1856</v>
      </c>
      <c r="C29" t="s">
        <v>1857</v>
      </c>
      <c r="D29" t="s">
        <v>1752</v>
      </c>
      <c r="E29" t="s">
        <v>1854</v>
      </c>
    </row>
    <row r="30" spans="1:6" x14ac:dyDescent="0.2">
      <c r="A30" t="s">
        <v>1858</v>
      </c>
      <c r="B30" t="s">
        <v>1859</v>
      </c>
      <c r="C30" t="s">
        <v>1860</v>
      </c>
      <c r="D30" t="s">
        <v>1802</v>
      </c>
      <c r="E30" t="s">
        <v>1739</v>
      </c>
    </row>
    <row r="31" spans="1:6" x14ac:dyDescent="0.2">
      <c r="A31" t="s">
        <v>11</v>
      </c>
      <c r="B31" t="s">
        <v>1861</v>
      </c>
      <c r="C31" t="s">
        <v>1862</v>
      </c>
      <c r="D31" t="s">
        <v>1844</v>
      </c>
      <c r="E31" t="s">
        <v>1739</v>
      </c>
    </row>
    <row r="32" spans="1:6" x14ac:dyDescent="0.2">
      <c r="A32" t="s">
        <v>1863</v>
      </c>
      <c r="B32" t="s">
        <v>1864</v>
      </c>
      <c r="C32" t="s">
        <v>1865</v>
      </c>
      <c r="D32" t="s">
        <v>1752</v>
      </c>
      <c r="E32" t="s">
        <v>1809</v>
      </c>
    </row>
    <row r="33" spans="1:5" x14ac:dyDescent="0.2">
      <c r="A33" t="s">
        <v>7</v>
      </c>
      <c r="B33" t="s">
        <v>1866</v>
      </c>
      <c r="C33" t="s">
        <v>1867</v>
      </c>
      <c r="D33" t="s">
        <v>1802</v>
      </c>
      <c r="E33" t="s">
        <v>1739</v>
      </c>
    </row>
    <row r="34" spans="1:5" x14ac:dyDescent="0.2">
      <c r="A34" t="s">
        <v>1868</v>
      </c>
      <c r="B34" t="s">
        <v>1869</v>
      </c>
      <c r="C34" t="s">
        <v>1870</v>
      </c>
      <c r="D34" t="s">
        <v>1823</v>
      </c>
      <c r="E34" t="s">
        <v>1739</v>
      </c>
    </row>
    <row r="35" spans="1:5" x14ac:dyDescent="0.2">
      <c r="A35" t="s">
        <v>1871</v>
      </c>
      <c r="B35" t="s">
        <v>1872</v>
      </c>
      <c r="C35" t="s">
        <v>1873</v>
      </c>
      <c r="D35" t="s">
        <v>1823</v>
      </c>
      <c r="E35" t="s">
        <v>1739</v>
      </c>
    </row>
    <row r="36" spans="1:5" x14ac:dyDescent="0.2">
      <c r="A36" t="s">
        <v>1874</v>
      </c>
      <c r="B36" t="s">
        <v>1875</v>
      </c>
      <c r="C36" t="s">
        <v>1876</v>
      </c>
      <c r="D36" t="s">
        <v>1823</v>
      </c>
      <c r="E36" t="s">
        <v>1739</v>
      </c>
    </row>
    <row r="37" spans="1:5" x14ac:dyDescent="0.2">
      <c r="A37" t="s">
        <v>16</v>
      </c>
      <c r="B37" t="s">
        <v>1877</v>
      </c>
      <c r="C37" t="s">
        <v>1878</v>
      </c>
      <c r="D37" t="s">
        <v>1802</v>
      </c>
      <c r="E37" t="s">
        <v>1739</v>
      </c>
    </row>
    <row r="38" spans="1:5" x14ac:dyDescent="0.2">
      <c r="A38" t="s">
        <v>1879</v>
      </c>
      <c r="B38" t="s">
        <v>1880</v>
      </c>
      <c r="C38" t="s">
        <v>1881</v>
      </c>
      <c r="D38" t="s">
        <v>1823</v>
      </c>
      <c r="E38" t="s">
        <v>1739</v>
      </c>
    </row>
    <row r="39" spans="1:5" x14ac:dyDescent="0.2">
      <c r="A39" t="s">
        <v>15</v>
      </c>
      <c r="B39" t="s">
        <v>1882</v>
      </c>
      <c r="C39" t="s">
        <v>1883</v>
      </c>
      <c r="D39" t="s">
        <v>1802</v>
      </c>
      <c r="E39" t="s">
        <v>1739</v>
      </c>
    </row>
    <row r="40" spans="1:5" x14ac:dyDescent="0.2">
      <c r="A40" t="s">
        <v>1884</v>
      </c>
      <c r="B40" t="s">
        <v>1885</v>
      </c>
      <c r="C40" t="s">
        <v>1886</v>
      </c>
      <c r="D40" t="s">
        <v>1823</v>
      </c>
      <c r="E40" t="s">
        <v>1739</v>
      </c>
    </row>
    <row r="41" spans="1:5" x14ac:dyDescent="0.2">
      <c r="A41" t="s">
        <v>1887</v>
      </c>
      <c r="B41" t="s">
        <v>1888</v>
      </c>
      <c r="C41" t="s">
        <v>1889</v>
      </c>
      <c r="D41" t="s">
        <v>1823</v>
      </c>
      <c r="E41" t="s">
        <v>1739</v>
      </c>
    </row>
    <row r="42" spans="1:5" x14ac:dyDescent="0.2">
      <c r="A42" t="s">
        <v>1890</v>
      </c>
      <c r="B42" t="s">
        <v>1891</v>
      </c>
      <c r="C42" t="s">
        <v>1892</v>
      </c>
      <c r="D42" t="s">
        <v>1752</v>
      </c>
      <c r="E42" t="s">
        <v>1739</v>
      </c>
    </row>
    <row r="43" spans="1:5" x14ac:dyDescent="0.2">
      <c r="A43" t="s">
        <v>1893</v>
      </c>
      <c r="B43" t="s">
        <v>1894</v>
      </c>
      <c r="C43" t="s">
        <v>1895</v>
      </c>
      <c r="D43" t="s">
        <v>1896</v>
      </c>
      <c r="E43" t="s">
        <v>1739</v>
      </c>
    </row>
    <row r="44" spans="1:5" s="3" customFormat="1" x14ac:dyDescent="0.2">
      <c r="A44" s="3" t="s">
        <v>2075</v>
      </c>
      <c r="B44" s="3" t="s">
        <v>2072</v>
      </c>
      <c r="D44" s="3" t="s">
        <v>1823</v>
      </c>
      <c r="E44" s="3" t="s">
        <v>1739</v>
      </c>
    </row>
    <row r="45" spans="1:5" x14ac:dyDescent="0.2">
      <c r="A45" s="3" t="s">
        <v>2078</v>
      </c>
      <c r="B45" s="3" t="s">
        <v>2079</v>
      </c>
      <c r="C45" s="3"/>
      <c r="D45" s="3" t="s">
        <v>1823</v>
      </c>
      <c r="E45" s="3" t="s">
        <v>1739</v>
      </c>
    </row>
    <row r="51" spans="1:6" x14ac:dyDescent="0.2">
      <c r="A51" s="3"/>
      <c r="B51" s="3"/>
      <c r="C51" s="3"/>
      <c r="D51" s="3"/>
      <c r="E51" s="3"/>
      <c r="F51" s="3"/>
    </row>
    <row r="52" spans="1:6" x14ac:dyDescent="0.2">
      <c r="A52" s="3"/>
      <c r="B52" s="3"/>
      <c r="C52" s="3"/>
      <c r="D52" s="3"/>
      <c r="E52" s="3"/>
      <c r="F52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zoomScaleNormal="100" workbookViewId="0">
      <selection activeCell="A31" sqref="A31"/>
    </sheetView>
  </sheetViews>
  <sheetFormatPr baseColWidth="10" defaultColWidth="19" defaultRowHeight="15" x14ac:dyDescent="0.2"/>
  <cols>
    <col min="1" max="1" width="35.6640625" customWidth="1"/>
    <col min="2" max="2" width="56.6640625" customWidth="1"/>
  </cols>
  <sheetData>
    <row r="1" spans="1:5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5" x14ac:dyDescent="0.2">
      <c r="A2" t="s">
        <v>0</v>
      </c>
      <c r="B2" t="s">
        <v>1897</v>
      </c>
      <c r="C2" t="s">
        <v>1898</v>
      </c>
      <c r="D2" t="s">
        <v>1738</v>
      </c>
      <c r="E2" t="s">
        <v>1739</v>
      </c>
    </row>
    <row r="3" spans="1:5" x14ac:dyDescent="0.2">
      <c r="A3" t="s">
        <v>1899</v>
      </c>
      <c r="B3" t="s">
        <v>1900</v>
      </c>
      <c r="C3" t="s">
        <v>1901</v>
      </c>
      <c r="D3" t="s">
        <v>1738</v>
      </c>
      <c r="E3" t="s">
        <v>1739</v>
      </c>
    </row>
    <row r="4" spans="1:5" x14ac:dyDescent="0.2">
      <c r="A4" t="s">
        <v>1902</v>
      </c>
      <c r="B4" t="s">
        <v>1903</v>
      </c>
      <c r="C4" t="s">
        <v>1904</v>
      </c>
      <c r="D4" t="s">
        <v>1738</v>
      </c>
      <c r="E4" t="s">
        <v>1739</v>
      </c>
    </row>
    <row r="5" spans="1:5" x14ac:dyDescent="0.2">
      <c r="A5" t="s">
        <v>1</v>
      </c>
      <c r="B5" t="s">
        <v>1905</v>
      </c>
      <c r="C5" t="s">
        <v>1906</v>
      </c>
      <c r="D5" t="s">
        <v>1752</v>
      </c>
      <c r="E5" t="s">
        <v>1739</v>
      </c>
    </row>
    <row r="6" spans="1:5" x14ac:dyDescent="0.2">
      <c r="A6" t="s">
        <v>1907</v>
      </c>
      <c r="B6" t="s">
        <v>1908</v>
      </c>
      <c r="C6" t="s">
        <v>1909</v>
      </c>
      <c r="D6" t="s">
        <v>1752</v>
      </c>
      <c r="E6" t="s">
        <v>1739</v>
      </c>
    </row>
    <row r="7" spans="1:5" x14ac:dyDescent="0.2">
      <c r="A7" t="s">
        <v>1910</v>
      </c>
      <c r="B7" t="s">
        <v>1911</v>
      </c>
      <c r="C7" t="s">
        <v>1912</v>
      </c>
      <c r="D7" t="s">
        <v>1752</v>
      </c>
      <c r="E7" t="s">
        <v>1764</v>
      </c>
    </row>
    <row r="8" spans="1:5" x14ac:dyDescent="0.2">
      <c r="A8" t="s">
        <v>1913</v>
      </c>
      <c r="B8" t="s">
        <v>1914</v>
      </c>
      <c r="C8" t="s">
        <v>1915</v>
      </c>
      <c r="D8" t="s">
        <v>1752</v>
      </c>
      <c r="E8" t="s">
        <v>1739</v>
      </c>
    </row>
    <row r="9" spans="1:5" x14ac:dyDescent="0.2">
      <c r="A9" t="s">
        <v>1916</v>
      </c>
      <c r="B9" t="s">
        <v>1917</v>
      </c>
      <c r="C9" t="s">
        <v>1918</v>
      </c>
      <c r="D9" t="s">
        <v>1752</v>
      </c>
      <c r="E9" t="s">
        <v>1739</v>
      </c>
    </row>
    <row r="10" spans="1:5" x14ac:dyDescent="0.2">
      <c r="A10" t="s">
        <v>2</v>
      </c>
      <c r="B10" t="s">
        <v>1919</v>
      </c>
      <c r="C10" t="s">
        <v>1920</v>
      </c>
      <c r="D10" t="s">
        <v>1738</v>
      </c>
      <c r="E10" t="s">
        <v>1764</v>
      </c>
    </row>
    <row r="11" spans="1:5" x14ac:dyDescent="0.2">
      <c r="A11" t="s">
        <v>1921</v>
      </c>
      <c r="B11" t="s">
        <v>1922</v>
      </c>
      <c r="C11" t="s">
        <v>1923</v>
      </c>
      <c r="D11" t="s">
        <v>1738</v>
      </c>
      <c r="E11" t="s">
        <v>1764</v>
      </c>
    </row>
    <row r="12" spans="1:5" x14ac:dyDescent="0.2">
      <c r="A12" t="s">
        <v>1924</v>
      </c>
      <c r="B12" t="s">
        <v>1925</v>
      </c>
      <c r="C12" t="s">
        <v>1738</v>
      </c>
      <c r="D12" t="s">
        <v>1764</v>
      </c>
    </row>
    <row r="13" spans="1:5" x14ac:dyDescent="0.2">
      <c r="A13" t="s">
        <v>1926</v>
      </c>
      <c r="B13" t="s">
        <v>1927</v>
      </c>
      <c r="C13" t="s">
        <v>1928</v>
      </c>
      <c r="D13" t="s">
        <v>1752</v>
      </c>
      <c r="E13" t="s">
        <v>1739</v>
      </c>
    </row>
    <row r="14" spans="1:5" x14ac:dyDescent="0.2">
      <c r="A14" t="s">
        <v>1929</v>
      </c>
      <c r="B14" t="s">
        <v>1930</v>
      </c>
      <c r="C14" t="s">
        <v>1931</v>
      </c>
      <c r="D14" t="s">
        <v>1752</v>
      </c>
      <c r="E14" t="s">
        <v>1739</v>
      </c>
    </row>
    <row r="15" spans="1:5" x14ac:dyDescent="0.2">
      <c r="A15" t="s">
        <v>1932</v>
      </c>
      <c r="B15" t="s">
        <v>1933</v>
      </c>
      <c r="C15" t="s">
        <v>1934</v>
      </c>
      <c r="D15" t="s">
        <v>1823</v>
      </c>
      <c r="E15" t="s">
        <v>1739</v>
      </c>
    </row>
    <row r="16" spans="1:5" x14ac:dyDescent="0.2">
      <c r="A16" t="s">
        <v>3</v>
      </c>
      <c r="B16" t="s">
        <v>1935</v>
      </c>
      <c r="C16" t="s">
        <v>1936</v>
      </c>
      <c r="D16" t="s">
        <v>1823</v>
      </c>
      <c r="E16" t="s">
        <v>1764</v>
      </c>
    </row>
    <row r="17" spans="1:5" x14ac:dyDescent="0.2">
      <c r="A17" t="s">
        <v>1937</v>
      </c>
      <c r="B17" t="s">
        <v>1938</v>
      </c>
      <c r="C17" t="s">
        <v>1939</v>
      </c>
      <c r="D17" t="s">
        <v>1823</v>
      </c>
      <c r="E17" t="s">
        <v>1739</v>
      </c>
    </row>
    <row r="18" spans="1:5" x14ac:dyDescent="0.2">
      <c r="A18" t="s">
        <v>1940</v>
      </c>
      <c r="B18" t="s">
        <v>1941</v>
      </c>
      <c r="C18" t="s">
        <v>1942</v>
      </c>
      <c r="D18" t="s">
        <v>1823</v>
      </c>
      <c r="E18" t="s">
        <v>1739</v>
      </c>
    </row>
    <row r="19" spans="1:5" x14ac:dyDescent="0.2">
      <c r="A19" t="s">
        <v>1943</v>
      </c>
      <c r="B19" t="s">
        <v>1944</v>
      </c>
      <c r="C19" t="s">
        <v>1945</v>
      </c>
      <c r="D19" t="s">
        <v>1738</v>
      </c>
      <c r="E19" t="s">
        <v>1809</v>
      </c>
    </row>
    <row r="20" spans="1:5" x14ac:dyDescent="0.2">
      <c r="A20" t="s">
        <v>1946</v>
      </c>
      <c r="B20" t="s">
        <v>1947</v>
      </c>
      <c r="C20" t="s">
        <v>1948</v>
      </c>
      <c r="D20" t="s">
        <v>1823</v>
      </c>
      <c r="E20" t="s">
        <v>1739</v>
      </c>
    </row>
    <row r="21" spans="1:5" x14ac:dyDescent="0.2">
      <c r="A21" t="s">
        <v>1949</v>
      </c>
      <c r="B21" t="s">
        <v>1950</v>
      </c>
      <c r="C21" t="s">
        <v>1951</v>
      </c>
      <c r="D21" t="s">
        <v>1823</v>
      </c>
      <c r="E21" t="s">
        <v>1739</v>
      </c>
    </row>
    <row r="22" spans="1:5" x14ac:dyDescent="0.2">
      <c r="A22" t="s">
        <v>1952</v>
      </c>
      <c r="B22" t="s">
        <v>1953</v>
      </c>
      <c r="C22" t="s">
        <v>1954</v>
      </c>
      <c r="D22" t="s">
        <v>1823</v>
      </c>
      <c r="E22" t="s">
        <v>1739</v>
      </c>
    </row>
    <row r="23" spans="1:5" x14ac:dyDescent="0.2">
      <c r="A23" t="s">
        <v>1955</v>
      </c>
      <c r="B23" t="s">
        <v>1956</v>
      </c>
      <c r="C23" t="s">
        <v>1957</v>
      </c>
      <c r="D23" t="s">
        <v>1823</v>
      </c>
      <c r="E23" t="s">
        <v>1739</v>
      </c>
    </row>
    <row r="24" spans="1:5" x14ac:dyDescent="0.2">
      <c r="A24" t="s">
        <v>1958</v>
      </c>
      <c r="B24" t="s">
        <v>1959</v>
      </c>
      <c r="C24" t="s">
        <v>1960</v>
      </c>
      <c r="D24" t="s">
        <v>1823</v>
      </c>
      <c r="E24" t="s">
        <v>1739</v>
      </c>
    </row>
    <row r="25" spans="1:5" x14ac:dyDescent="0.2">
      <c r="A25" t="s">
        <v>1961</v>
      </c>
      <c r="B25" t="s">
        <v>1962</v>
      </c>
      <c r="C25" s="2" t="s">
        <v>1963</v>
      </c>
      <c r="D25" t="s">
        <v>1823</v>
      </c>
      <c r="E25" t="s">
        <v>1739</v>
      </c>
    </row>
    <row r="26" spans="1:5" x14ac:dyDescent="0.2">
      <c r="A26" t="s">
        <v>1964</v>
      </c>
      <c r="B26" t="s">
        <v>1965</v>
      </c>
      <c r="C26" t="s">
        <v>1966</v>
      </c>
      <c r="D26" t="s">
        <v>1823</v>
      </c>
      <c r="E26" t="s">
        <v>1739</v>
      </c>
    </row>
    <row r="27" spans="1:5" x14ac:dyDescent="0.2">
      <c r="A27" t="s">
        <v>1967</v>
      </c>
      <c r="B27" t="s">
        <v>1968</v>
      </c>
      <c r="C27" t="s">
        <v>1969</v>
      </c>
      <c r="D27" t="s">
        <v>1823</v>
      </c>
      <c r="E27" t="s">
        <v>1739</v>
      </c>
    </row>
    <row r="28" spans="1:5" x14ac:dyDescent="0.2">
      <c r="A28" t="s">
        <v>1970</v>
      </c>
      <c r="B28" t="s">
        <v>1971</v>
      </c>
      <c r="C28" t="s">
        <v>1972</v>
      </c>
      <c r="D28" t="s">
        <v>1823</v>
      </c>
      <c r="E28" t="s">
        <v>1809</v>
      </c>
    </row>
    <row r="29" spans="1:5" x14ac:dyDescent="0.2">
      <c r="A29" t="s">
        <v>17</v>
      </c>
      <c r="B29" t="s">
        <v>1973</v>
      </c>
      <c r="C29" t="s">
        <v>1974</v>
      </c>
      <c r="D29" t="s">
        <v>1823</v>
      </c>
      <c r="E29" t="s">
        <v>1739</v>
      </c>
    </row>
  </sheetData>
  <hyperlinks>
    <hyperlink ref="C25" r:id="rId1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/>
  </sheetViews>
  <sheetFormatPr baseColWidth="10" defaultColWidth="19.33203125" defaultRowHeight="15" x14ac:dyDescent="0.2"/>
  <sheetData>
    <row r="1" spans="1:5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5" x14ac:dyDescent="0.2">
      <c r="A2" t="s">
        <v>1735</v>
      </c>
      <c r="B2" t="s">
        <v>1736</v>
      </c>
      <c r="C2" t="s">
        <v>1737</v>
      </c>
      <c r="D2" t="s">
        <v>1738</v>
      </c>
      <c r="E2" t="s">
        <v>1739</v>
      </c>
    </row>
    <row r="3" spans="1:5" x14ac:dyDescent="0.2">
      <c r="A3" t="s">
        <v>1740</v>
      </c>
      <c r="B3" t="s">
        <v>1741</v>
      </c>
      <c r="C3" t="s">
        <v>1742</v>
      </c>
      <c r="D3" t="s">
        <v>1738</v>
      </c>
      <c r="E3" t="s">
        <v>1739</v>
      </c>
    </row>
    <row r="4" spans="1:5" x14ac:dyDescent="0.2">
      <c r="A4" t="s">
        <v>1743</v>
      </c>
      <c r="B4" t="s">
        <v>1744</v>
      </c>
      <c r="C4" t="s">
        <v>1745</v>
      </c>
      <c r="D4" t="s">
        <v>1738</v>
      </c>
      <c r="E4" t="s">
        <v>1739</v>
      </c>
    </row>
    <row r="5" spans="1:5" x14ac:dyDescent="0.2">
      <c r="A5" t="s">
        <v>1746</v>
      </c>
      <c r="B5" t="s">
        <v>1747</v>
      </c>
      <c r="C5" t="s">
        <v>1748</v>
      </c>
      <c r="D5" t="s">
        <v>1738</v>
      </c>
      <c r="E5" t="s">
        <v>1739</v>
      </c>
    </row>
    <row r="6" spans="1:5" x14ac:dyDescent="0.2">
      <c r="A6" t="s">
        <v>1749</v>
      </c>
      <c r="B6" t="s">
        <v>1750</v>
      </c>
      <c r="C6" t="s">
        <v>1751</v>
      </c>
      <c r="D6" t="s">
        <v>1752</v>
      </c>
      <c r="E6" t="s">
        <v>1739</v>
      </c>
    </row>
    <row r="7" spans="1:5" x14ac:dyDescent="0.2">
      <c r="A7" t="s">
        <v>1753</v>
      </c>
      <c r="B7" t="s">
        <v>1754</v>
      </c>
      <c r="C7" t="s">
        <v>1755</v>
      </c>
      <c r="D7" t="s">
        <v>1752</v>
      </c>
      <c r="E7" t="s">
        <v>1739</v>
      </c>
    </row>
    <row r="8" spans="1:5" x14ac:dyDescent="0.2">
      <c r="A8" t="s">
        <v>1756</v>
      </c>
      <c r="B8" t="s">
        <v>1757</v>
      </c>
      <c r="C8" t="s">
        <v>1758</v>
      </c>
      <c r="D8" t="s">
        <v>1738</v>
      </c>
      <c r="E8" t="s">
        <v>1739</v>
      </c>
    </row>
    <row r="9" spans="1:5" x14ac:dyDescent="0.2">
      <c r="A9" t="s">
        <v>1759</v>
      </c>
      <c r="B9" t="s">
        <v>1760</v>
      </c>
      <c r="C9" t="s">
        <v>1761</v>
      </c>
      <c r="D9" t="s">
        <v>1738</v>
      </c>
      <c r="E9" t="s">
        <v>1739</v>
      </c>
    </row>
    <row r="10" spans="1:5" x14ac:dyDescent="0.2">
      <c r="A10" t="s">
        <v>1762</v>
      </c>
      <c r="B10" t="s">
        <v>1763</v>
      </c>
      <c r="C10" t="s">
        <v>963</v>
      </c>
      <c r="D10" t="s">
        <v>1752</v>
      </c>
      <c r="E10" t="s">
        <v>1764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/>
  </sheetViews>
  <sheetFormatPr baseColWidth="10" defaultColWidth="19.1640625" defaultRowHeight="15" x14ac:dyDescent="0.2"/>
  <sheetData>
    <row r="1" spans="1:5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5" x14ac:dyDescent="0.2">
      <c r="A2" t="s">
        <v>1765</v>
      </c>
      <c r="B2" t="s">
        <v>1766</v>
      </c>
      <c r="C2" t="s">
        <v>1767</v>
      </c>
      <c r="D2" t="s">
        <v>1738</v>
      </c>
      <c r="E2" t="s">
        <v>1739</v>
      </c>
    </row>
    <row r="3" spans="1:5" x14ac:dyDescent="0.2">
      <c r="A3" t="s">
        <v>1768</v>
      </c>
      <c r="B3" t="s">
        <v>1769</v>
      </c>
      <c r="C3" t="s">
        <v>1770</v>
      </c>
      <c r="D3" t="s">
        <v>1738</v>
      </c>
      <c r="E3" t="s">
        <v>1739</v>
      </c>
    </row>
    <row r="4" spans="1:5" x14ac:dyDescent="0.2">
      <c r="A4" t="s">
        <v>1756</v>
      </c>
      <c r="B4" t="s">
        <v>1771</v>
      </c>
      <c r="C4" t="s">
        <v>1772</v>
      </c>
      <c r="D4" t="s">
        <v>1738</v>
      </c>
      <c r="E4" t="s">
        <v>1739</v>
      </c>
    </row>
    <row r="5" spans="1:5" x14ac:dyDescent="0.2">
      <c r="A5" t="s">
        <v>1759</v>
      </c>
      <c r="B5" t="s">
        <v>1773</v>
      </c>
      <c r="C5" t="s">
        <v>1774</v>
      </c>
      <c r="D5" t="s">
        <v>1738</v>
      </c>
      <c r="E5" t="s">
        <v>1739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zoomScaleNormal="100" workbookViewId="0">
      <selection activeCell="B34" sqref="B34"/>
    </sheetView>
  </sheetViews>
  <sheetFormatPr baseColWidth="10" defaultColWidth="19" defaultRowHeight="15" x14ac:dyDescent="0.2"/>
  <cols>
    <col min="1" max="1" width="26.83203125" customWidth="1"/>
    <col min="2" max="2" width="51.1640625" customWidth="1"/>
    <col min="3" max="3" width="58.33203125" customWidth="1"/>
  </cols>
  <sheetData>
    <row r="1" spans="1:5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5" x14ac:dyDescent="0.2">
      <c r="A2" t="s">
        <v>1902</v>
      </c>
      <c r="B2" t="s">
        <v>1975</v>
      </c>
      <c r="C2" t="s">
        <v>1904</v>
      </c>
      <c r="D2" t="s">
        <v>1738</v>
      </c>
      <c r="E2" t="s">
        <v>1739</v>
      </c>
    </row>
    <row r="3" spans="1:5" x14ac:dyDescent="0.2">
      <c r="A3" t="s">
        <v>1976</v>
      </c>
      <c r="B3" t="s">
        <v>1977</v>
      </c>
      <c r="C3" t="s">
        <v>1978</v>
      </c>
      <c r="D3" t="s">
        <v>1752</v>
      </c>
      <c r="E3" t="s">
        <v>1739</v>
      </c>
    </row>
    <row r="4" spans="1:5" x14ac:dyDescent="0.2">
      <c r="A4" t="s">
        <v>1979</v>
      </c>
      <c r="B4" t="s">
        <v>1980</v>
      </c>
      <c r="C4" t="s">
        <v>1981</v>
      </c>
      <c r="D4" t="s">
        <v>1752</v>
      </c>
      <c r="E4" t="s">
        <v>1739</v>
      </c>
    </row>
    <row r="5" spans="1:5" x14ac:dyDescent="0.2">
      <c r="A5" t="s">
        <v>1798</v>
      </c>
      <c r="B5" t="s">
        <v>1982</v>
      </c>
      <c r="C5" t="s">
        <v>1800</v>
      </c>
      <c r="D5" t="s">
        <v>1738</v>
      </c>
      <c r="E5" t="s">
        <v>1739</v>
      </c>
    </row>
    <row r="6" spans="1:5" x14ac:dyDescent="0.2">
      <c r="A6" t="s">
        <v>1983</v>
      </c>
      <c r="B6" t="s">
        <v>1984</v>
      </c>
      <c r="C6" t="s">
        <v>1985</v>
      </c>
      <c r="D6" t="s">
        <v>1738</v>
      </c>
      <c r="E6" t="s">
        <v>1739</v>
      </c>
    </row>
    <row r="7" spans="1:5" x14ac:dyDescent="0.2">
      <c r="A7" t="s">
        <v>1986</v>
      </c>
      <c r="B7" t="s">
        <v>1987</v>
      </c>
      <c r="C7" t="s">
        <v>1988</v>
      </c>
      <c r="D7" t="s">
        <v>1738</v>
      </c>
      <c r="E7" t="s">
        <v>1739</v>
      </c>
    </row>
    <row r="8" spans="1:5" x14ac:dyDescent="0.2">
      <c r="A8" t="s">
        <v>1989</v>
      </c>
      <c r="B8" t="s">
        <v>1990</v>
      </c>
      <c r="C8" t="s">
        <v>1991</v>
      </c>
      <c r="D8" t="s">
        <v>1752</v>
      </c>
      <c r="E8" t="s">
        <v>1739</v>
      </c>
    </row>
    <row r="9" spans="1:5" x14ac:dyDescent="0.2">
      <c r="A9" t="s">
        <v>1992</v>
      </c>
      <c r="B9" t="s">
        <v>1993</v>
      </c>
      <c r="C9" t="s">
        <v>1994</v>
      </c>
      <c r="D9" t="s">
        <v>1752</v>
      </c>
      <c r="E9" t="s">
        <v>1739</v>
      </c>
    </row>
    <row r="10" spans="1:5" x14ac:dyDescent="0.2">
      <c r="A10" t="s">
        <v>1995</v>
      </c>
      <c r="B10" t="s">
        <v>1996</v>
      </c>
      <c r="C10" t="s">
        <v>1997</v>
      </c>
      <c r="D10" t="s">
        <v>1738</v>
      </c>
      <c r="E10" t="s">
        <v>1739</v>
      </c>
    </row>
    <row r="11" spans="1:5" x14ac:dyDescent="0.2">
      <c r="A11" t="s">
        <v>1998</v>
      </c>
      <c r="B11" t="s">
        <v>1999</v>
      </c>
      <c r="C11" t="s">
        <v>2000</v>
      </c>
      <c r="D11" t="s">
        <v>1752</v>
      </c>
      <c r="E11" t="s">
        <v>1739</v>
      </c>
    </row>
    <row r="12" spans="1:5" x14ac:dyDescent="0.2">
      <c r="A12" t="s">
        <v>2001</v>
      </c>
      <c r="B12" t="s">
        <v>2002</v>
      </c>
      <c r="C12" t="s">
        <v>2003</v>
      </c>
      <c r="D12" t="s">
        <v>1752</v>
      </c>
      <c r="E12" t="s">
        <v>1739</v>
      </c>
    </row>
    <row r="13" spans="1:5" x14ac:dyDescent="0.2">
      <c r="A13" t="s">
        <v>2004</v>
      </c>
      <c r="B13" t="s">
        <v>2005</v>
      </c>
      <c r="C13" t="s">
        <v>2006</v>
      </c>
      <c r="D13" t="s">
        <v>1752</v>
      </c>
      <c r="E13" t="s">
        <v>1739</v>
      </c>
    </row>
    <row r="14" spans="1:5" x14ac:dyDescent="0.2">
      <c r="A14" t="s">
        <v>2007</v>
      </c>
      <c r="B14" t="s">
        <v>2008</v>
      </c>
      <c r="C14" t="s">
        <v>2009</v>
      </c>
      <c r="D14" t="s">
        <v>1752</v>
      </c>
      <c r="E14" t="s">
        <v>1809</v>
      </c>
    </row>
    <row r="15" spans="1:5" x14ac:dyDescent="0.2">
      <c r="A15" t="s">
        <v>2010</v>
      </c>
      <c r="B15" t="s">
        <v>2011</v>
      </c>
      <c r="C15" t="s">
        <v>2012</v>
      </c>
      <c r="D15" t="s">
        <v>1752</v>
      </c>
      <c r="E15" t="s">
        <v>1739</v>
      </c>
    </row>
    <row r="16" spans="1:5" x14ac:dyDescent="0.2">
      <c r="A16" t="s">
        <v>2013</v>
      </c>
      <c r="B16" t="s">
        <v>2014</v>
      </c>
      <c r="C16" t="s">
        <v>2015</v>
      </c>
      <c r="D16" t="s">
        <v>1738</v>
      </c>
      <c r="E16" t="s">
        <v>1739</v>
      </c>
    </row>
    <row r="17" spans="1:5" x14ac:dyDescent="0.2">
      <c r="A17" t="s">
        <v>2016</v>
      </c>
      <c r="B17" t="s">
        <v>2017</v>
      </c>
      <c r="C17" t="s">
        <v>2018</v>
      </c>
      <c r="D17" t="s">
        <v>1738</v>
      </c>
      <c r="E17" t="s">
        <v>1739</v>
      </c>
    </row>
    <row r="18" spans="1:5" x14ac:dyDescent="0.2">
      <c r="A18" t="s">
        <v>5</v>
      </c>
      <c r="B18" t="s">
        <v>2019</v>
      </c>
      <c r="C18" t="s">
        <v>1945</v>
      </c>
      <c r="D18" t="s">
        <v>1738</v>
      </c>
      <c r="E18" t="s">
        <v>1809</v>
      </c>
    </row>
    <row r="19" spans="1:5" x14ac:dyDescent="0.2">
      <c r="A19" t="s">
        <v>2020</v>
      </c>
      <c r="B19" t="s">
        <v>2021</v>
      </c>
      <c r="C19" t="s">
        <v>963</v>
      </c>
      <c r="D19" t="s">
        <v>1752</v>
      </c>
      <c r="E19" t="s">
        <v>1764</v>
      </c>
    </row>
    <row r="20" spans="1:5" x14ac:dyDescent="0.2">
      <c r="A20" t="s">
        <v>2022</v>
      </c>
      <c r="B20" t="s">
        <v>2023</v>
      </c>
      <c r="C20" t="s">
        <v>2024</v>
      </c>
      <c r="D20" t="s">
        <v>1752</v>
      </c>
      <c r="E20" t="s">
        <v>1739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zoomScaleNormal="100" workbookViewId="0">
      <selection activeCell="A12" sqref="A12"/>
    </sheetView>
  </sheetViews>
  <sheetFormatPr baseColWidth="10" defaultColWidth="20" defaultRowHeight="15" x14ac:dyDescent="0.2"/>
  <cols>
    <col min="1" max="1" width="31" customWidth="1"/>
  </cols>
  <sheetData>
    <row r="1" spans="1:5" s="1" customFormat="1" x14ac:dyDescent="0.2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</row>
    <row r="2" spans="1:5" x14ac:dyDescent="0.2">
      <c r="A2" t="s">
        <v>0</v>
      </c>
      <c r="B2" t="s">
        <v>1897</v>
      </c>
      <c r="C2" t="s">
        <v>1898</v>
      </c>
      <c r="E2" t="s">
        <v>1739</v>
      </c>
    </row>
    <row r="3" spans="1:5" x14ac:dyDescent="0.2">
      <c r="A3" t="s">
        <v>2025</v>
      </c>
      <c r="B3" t="s">
        <v>2026</v>
      </c>
      <c r="C3" t="s">
        <v>2027</v>
      </c>
      <c r="E3" t="s">
        <v>1739</v>
      </c>
    </row>
    <row r="4" spans="1:5" x14ac:dyDescent="0.2">
      <c r="A4" t="s">
        <v>2028</v>
      </c>
      <c r="B4" t="s">
        <v>2029</v>
      </c>
      <c r="C4" t="s">
        <v>2030</v>
      </c>
      <c r="E4" t="s">
        <v>1739</v>
      </c>
    </row>
    <row r="5" spans="1:5" x14ac:dyDescent="0.2">
      <c r="A5" t="s">
        <v>2031</v>
      </c>
      <c r="B5" t="s">
        <v>2032</v>
      </c>
      <c r="C5" t="s">
        <v>2033</v>
      </c>
      <c r="E5" t="s">
        <v>1764</v>
      </c>
    </row>
    <row r="6" spans="1:5" x14ac:dyDescent="0.2">
      <c r="A6" t="s">
        <v>2034</v>
      </c>
      <c r="B6" t="s">
        <v>2035</v>
      </c>
      <c r="C6" t="s">
        <v>2036</v>
      </c>
      <c r="E6" t="s">
        <v>1739</v>
      </c>
    </row>
    <row r="7" spans="1:5" x14ac:dyDescent="0.2">
      <c r="A7" t="s">
        <v>2037</v>
      </c>
      <c r="B7" t="s">
        <v>2038</v>
      </c>
      <c r="C7" t="s">
        <v>2039</v>
      </c>
      <c r="E7" t="s">
        <v>1764</v>
      </c>
    </row>
    <row r="8" spans="1:5" x14ac:dyDescent="0.2">
      <c r="A8" t="s">
        <v>2040</v>
      </c>
      <c r="B8" t="s">
        <v>2041</v>
      </c>
      <c r="C8" t="s">
        <v>2042</v>
      </c>
      <c r="E8" t="s">
        <v>1764</v>
      </c>
    </row>
    <row r="9" spans="1:5" x14ac:dyDescent="0.2">
      <c r="A9" t="s">
        <v>2043</v>
      </c>
      <c r="B9" t="s">
        <v>2044</v>
      </c>
      <c r="C9" t="s">
        <v>2045</v>
      </c>
      <c r="E9" t="s">
        <v>1764</v>
      </c>
    </row>
    <row r="10" spans="1:5" x14ac:dyDescent="0.2">
      <c r="A10" t="s">
        <v>2046</v>
      </c>
      <c r="B10" t="s">
        <v>2047</v>
      </c>
      <c r="C10" t="s">
        <v>2048</v>
      </c>
      <c r="E10" t="s">
        <v>1764</v>
      </c>
    </row>
    <row r="11" spans="1:5" x14ac:dyDescent="0.2">
      <c r="A11" t="s">
        <v>2049</v>
      </c>
      <c r="B11" t="s">
        <v>2050</v>
      </c>
      <c r="C11" t="s">
        <v>2051</v>
      </c>
      <c r="E11" t="s">
        <v>1764</v>
      </c>
    </row>
    <row r="12" spans="1:5" x14ac:dyDescent="0.2">
      <c r="A12" t="s">
        <v>2052</v>
      </c>
      <c r="B12" t="s">
        <v>2053</v>
      </c>
      <c r="C12" t="s">
        <v>2054</v>
      </c>
      <c r="E12" t="s">
        <v>1764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Samples</vt:lpstr>
      <vt:lpstr>Individual</vt:lpstr>
      <vt:lpstr>BioSample</vt:lpstr>
      <vt:lpstr>Sample</vt:lpstr>
      <vt:lpstr>Project</vt:lpstr>
      <vt:lpstr>Center</vt:lpstr>
      <vt:lpstr>Library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Meltem Yashar</cp:lastModifiedBy>
  <cp:revision>2</cp:revision>
  <dcterms:created xsi:type="dcterms:W3CDTF">2026-03-27T17:25:32Z</dcterms:created>
  <dcterms:modified xsi:type="dcterms:W3CDTF">2026-06-03T15:50:12Z</dcterms:modified>
  <dc:language>en-US</dc:language>
</cp:coreProperties>
</file>